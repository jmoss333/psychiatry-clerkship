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Index" sheetId="1" state="visible" r:id="rId3"/>
    <sheet name="Summary" sheetId="2" state="visible" r:id="rId4"/>
  </sheets>
  <definedNames>
    <definedName function="false" hidden="true" localSheetId="0" name="_xlnm._FilterDatabase" vbProcedure="false">'Master Index'!$A$1:$M$68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<sst xmlns="http://schemas.openxmlformats.org/spreadsheetml/2006/main" count="930" uniqueCount="401">
  <si>
    <t xml:space="preserve">Title</t>
  </si>
  <si>
    <t xml:space="preserve">Category</t>
  </si>
  <si>
    <t xml:space="preserve">Subcategory</t>
  </si>
  <si>
    <t xml:space="preserve">Format</t>
  </si>
  <si>
    <t xml:space="preserve">Topic</t>
  </si>
  <si>
    <t xml:space="preserve">Educational Level</t>
  </si>
  <si>
    <t xml:space="preserve">Difficulty</t>
  </si>
  <si>
    <t xml:space="preserve">Est. Time</t>
  </si>
  <si>
    <t xml:space="preserve">Clinical Relevance</t>
  </si>
  <si>
    <t xml:space="preserve">Current Status</t>
  </si>
  <si>
    <t xml:space="preserve">Priority</t>
  </si>
  <si>
    <t xml:space="preserve">Location</t>
  </si>
  <si>
    <t xml:space="preserve">Recommended Action</t>
  </si>
  <si>
    <t xml:space="preserve">Psychiatry Clerkship Library — Master Plan (this audit)</t>
  </si>
  <si>
    <t xml:space="preserve">Planning</t>
  </si>
  <si>
    <t xml:space="preserve">Audit/Architecture</t>
  </si>
  <si>
    <t xml:space="preserve">MD</t>
  </si>
  <si>
    <t xml:space="preserve">Library design</t>
  </si>
  <si>
    <t xml:space="preserve">Faculty</t>
  </si>
  <si>
    <t xml:space="preserve">—</t>
  </si>
  <si>
    <t xml:space="preserve">45m</t>
  </si>
  <si>
    <t xml:space="preserve">High</t>
  </si>
  <si>
    <t xml:space="preserve">Exists</t>
  </si>
  <si>
    <t xml:space="preserve">P0</t>
  </si>
  <si>
    <t xml:space="preserve">~/ (home)</t>
  </si>
  <si>
    <t xml:space="preserve">Use as front door / README</t>
  </si>
  <si>
    <t xml:space="preserve">Education Hub Blueprint (3-path architecture)</t>
  </si>
  <si>
    <t xml:space="preserve">Architecture</t>
  </si>
  <si>
    <t xml:space="preserve">Hub design</t>
  </si>
  <si>
    <t xml:space="preserve">20m</t>
  </si>
  <si>
    <t xml:space="preserve">Med</t>
  </si>
  <si>
    <t xml:space="preserve">Revise</t>
  </si>
  <si>
    <t xml:space="preserve">P1</t>
  </si>
  <si>
    <t xml:space="preserve">~/Education_Hub_Blueprint.md</t>
  </si>
  <si>
    <t xml:space="preserve">Fold into master plan</t>
  </si>
  <si>
    <t xml:space="preserve">Library Plan &amp; Audit Roadmap (Book/Podcast)</t>
  </si>
  <si>
    <t xml:space="preserve">Media library</t>
  </si>
  <si>
    <t xml:space="preserve">25m</t>
  </si>
  <si>
    <t xml:space="preserve">P3</t>
  </si>
  <si>
    <t xml:space="preserve">~/Library_Plan_and_Audit_Roadmap.md</t>
  </si>
  <si>
    <t xml:space="preserve">Build Library v1</t>
  </si>
  <si>
    <t xml:space="preserve">A Day on the Unit — Walkthrough</t>
  </si>
  <si>
    <t xml:space="preserve">Orientation</t>
  </si>
  <si>
    <t xml:space="preserve">Logistics</t>
  </si>
  <si>
    <t xml:space="preserve">DOCX</t>
  </si>
  <si>
    <t xml:space="preserve">Unit orientation</t>
  </si>
  <si>
    <t xml:space="preserve">MS3</t>
  </si>
  <si>
    <t xml:space="preserve">Intro</t>
  </si>
  <si>
    <t xml:space="preserve">iCloud Work&amp;Career / repo</t>
  </si>
  <si>
    <t xml:space="preserve">Wrap into 00_START_HERE syllabus</t>
  </si>
  <si>
    <t xml:space="preserve">MH Advanced Clerkship — Elective Application AY26-27</t>
  </si>
  <si>
    <t xml:space="preserve">Accreditation</t>
  </si>
  <si>
    <t xml:space="preserve">PDF</t>
  </si>
  <si>
    <t xml:space="preserve">Elective design</t>
  </si>
  <si>
    <t xml:space="preserve">30m</t>
  </si>
  <si>
    <t xml:space="preserve">~/Downloads</t>
  </si>
  <si>
    <t xml:space="preserve">Use to set learning objectives</t>
  </si>
  <si>
    <t xml:space="preserve">Landmark Psychiatry Teaching Guide (100 papers)</t>
  </si>
  <si>
    <t xml:space="preserve">Evidence &amp; Reading</t>
  </si>
  <si>
    <t xml:space="preserve">Landmark Library</t>
  </si>
  <si>
    <t xml:space="preserve">Evidence base</t>
  </si>
  <si>
    <t xml:space="preserve">MS3→Attending</t>
  </si>
  <si>
    <t xml:space="preserve">Mixed</t>
  </si>
  <si>
    <t xml:space="preserve">Reference</t>
  </si>
  <si>
    <t xml:space="preserve">teaching/landmark-psychiatry-teaching-guide.md</t>
  </si>
  <si>
    <t xml:space="preserve">Canonical; reconcile 15-vs-16 count</t>
  </si>
  <si>
    <t xml:space="preserve">15/16-paper Reading Pathway (4-wk)</t>
  </si>
  <si>
    <t xml:space="preserve">Reading Pathway</t>
  </si>
  <si>
    <t xml:space="preserve">Curated readings</t>
  </si>
  <si>
    <t xml:space="preserve">Intro→Adv</t>
  </si>
  <si>
    <t xml:space="preserve">~16 papers</t>
  </si>
  <si>
    <t xml:space="preserve">(within Landmark guide)</t>
  </si>
  <si>
    <t xml:space="preserve">Re-sequence to 6 weeks</t>
  </si>
  <si>
    <t xml:space="preserve">Journal Club in a Box — 6 packets</t>
  </si>
  <si>
    <t xml:space="preserve">Journal Club</t>
  </si>
  <si>
    <t xml:space="preserve">EBM/critical appraisal</t>
  </si>
  <si>
    <t xml:space="preserve">MS3→Resident</t>
  </si>
  <si>
    <t xml:space="preserve">Inter</t>
  </si>
  <si>
    <t xml:space="preserve">45m each</t>
  </si>
  <si>
    <t xml:space="preserve">Schedule across 6 weeks</t>
  </si>
  <si>
    <t xml:space="preserve">Teaching Script Template (10-min whiteboard)</t>
  </si>
  <si>
    <t xml:space="preserve">Teaching Method</t>
  </si>
  <si>
    <t xml:space="preserve">Teaching skill</t>
  </si>
  <si>
    <t xml:space="preserve">Resident→Faculty</t>
  </si>
  <si>
    <t xml:space="preserve">10m</t>
  </si>
  <si>
    <t xml:space="preserve">Resident overlay</t>
  </si>
  <si>
    <t xml:space="preserve">Landmark library — Google Drive export</t>
  </si>
  <si>
    <t xml:space="preserve">Folder</t>
  </si>
  <si>
    <t xml:space="preserve">All</t>
  </si>
  <si>
    <t xml:space="preserve">Merge</t>
  </si>
  <si>
    <t xml:space="preserve">Google Drive</t>
  </si>
  <si>
    <t xml:space="preserve">Keep as distribution export</t>
  </si>
  <si>
    <t xml:space="preserve">Resident Handout (2-page)</t>
  </si>
  <si>
    <t xml:space="preserve">PDF/DOCX</t>
  </si>
  <si>
    <t xml:space="preserve">Quick reference</t>
  </si>
  <si>
    <t xml:space="preserve">Resident</t>
  </si>
  <si>
    <t xml:space="preserve">Add to Resident track</t>
  </si>
  <si>
    <t xml:space="preserve">Facilitator Teaching Script + Answer Keys</t>
  </si>
  <si>
    <t xml:space="preserve">Facilitation</t>
  </si>
  <si>
    <t xml:space="preserve">Pair with JC packets</t>
  </si>
  <si>
    <t xml:space="preserve">Landmark Article Library (live)</t>
  </si>
  <si>
    <t xml:space="preserve">Notion DB</t>
  </si>
  <si>
    <t xml:space="preserve">Notion</t>
  </si>
  <si>
    <t xml:space="preserve">Keep as editable live view</t>
  </si>
  <si>
    <t xml:space="preserve">ASCP Psychopharmacology Curriculum (11th ed)</t>
  </si>
  <si>
    <t xml:space="preserve">Psychopharmacology</t>
  </si>
  <si>
    <t xml:space="preserve">Reference Curriculum</t>
  </si>
  <si>
    <t xml:space="preserve">Psychopharm</t>
  </si>
  <si>
    <t xml:space="preserve">Adv</t>
  </si>
  <si>
    <t xml:space="preserve">iCloud Gen Psych Resources</t>
  </si>
  <si>
    <t xml:space="preserve">Reference for psychopharm primer</t>
  </si>
  <si>
    <t xml:space="preserve">Inpatient Guideline Surveillance 2023-2026</t>
  </si>
  <si>
    <t xml:space="preserve">Guidelines</t>
  </si>
  <si>
    <t xml:space="preserve">Guideline tracking</t>
  </si>
  <si>
    <t xml:space="preserve">~/Inpatient_Psychiatry_Guideline_Surveillance_2023-2026.docx</t>
  </si>
  <si>
    <t xml:space="preserve">Guidelines hub</t>
  </si>
  <si>
    <t xml:space="preserve">APA Guideline Highlights Plan (+ Build Plan v2)</t>
  </si>
  <si>
    <t xml:space="preserve">Guideline highlights</t>
  </si>
  <si>
    <t xml:space="preserve">~/APA_Guideline_Highlights_Plan.md</t>
  </si>
  <si>
    <t xml:space="preserve">Execute highlights build</t>
  </si>
  <si>
    <t xml:space="preserve">Relational Psychiatry Teaching Manual v2</t>
  </si>
  <si>
    <t xml:space="preserve">Teaching Spine</t>
  </si>
  <si>
    <t xml:space="preserve">RSS Frame</t>
  </si>
  <si>
    <t xml:space="preserve">DOCX/MD</t>
  </si>
  <si>
    <t xml:space="preserve">Relational psychiatry</t>
  </si>
  <si>
    <t xml:space="preserve">teaching/Relational_Psychiatry_Teaching_Manual_v2.docx</t>
  </si>
  <si>
    <t xml:space="preserve">Canonical; archive v1</t>
  </si>
  <si>
    <t xml:space="preserve">Composite Teaching Cases v1</t>
  </si>
  <si>
    <t xml:space="preserve">Cases &amp; Simulation</t>
  </si>
  <si>
    <t xml:space="preserve">Composite Cases</t>
  </si>
  <si>
    <t xml:space="preserve">Case-based teaching</t>
  </si>
  <si>
    <t xml:space="preserve">teaching/archive/composite_cases_v1.md</t>
  </si>
  <si>
    <t xml:space="preserve">Promote from archive; map to weeks</t>
  </si>
  <si>
    <t xml:space="preserve">RSS Video Scripts (10)</t>
  </si>
  <si>
    <t xml:space="preserve">Media</t>
  </si>
  <si>
    <t xml:space="preserve">Video Scripts</t>
  </si>
  <si>
    <t xml:space="preserve">RSS layers / family</t>
  </si>
  <si>
    <t xml:space="preserve">8m each</t>
  </si>
  <si>
    <t xml:space="preserve">teaching/video-scripts/ (+ dup dir)</t>
  </si>
  <si>
    <t xml:space="preserve">Merge two dirs to one</t>
  </si>
  <si>
    <t xml:space="preserve">13 NotebookLM Projects + Audio Overviews</t>
  </si>
  <si>
    <t xml:space="preserve">Audio/AI Study</t>
  </si>
  <si>
    <t xml:space="preserve">MD/TXT/Audio</t>
  </si>
  <si>
    <t xml:space="preserve">Mixed topics</t>
  </si>
  <si>
    <t xml:space="preserve">Varies</t>
  </si>
  <si>
    <t xml:space="preserve">teaching/notebooklm-projects/</t>
  </si>
  <si>
    <t xml:space="preserve">Index into 12_Media</t>
  </si>
  <si>
    <t xml:space="preserve">ED→Inpatient Psych Capstone package</t>
  </si>
  <si>
    <t xml:space="preserve">Patient/Family Ed</t>
  </si>
  <si>
    <t xml:space="preserve">ED Boarding</t>
  </si>
  <si>
    <t xml:space="preserve">Crisis/boarding</t>
  </si>
  <si>
    <t xml:space="preserve">Patient/Staff</t>
  </si>
  <si>
    <t xml:space="preserve">teaching/ed-psych-capstone/</t>
  </si>
  <si>
    <t xml:space="preserve">Keep; link staff materials</t>
  </si>
  <si>
    <t xml:space="preserve">Gen Psych Didactic Decks (Bootcamp, Barkley, CPT, Exposure)</t>
  </si>
  <si>
    <t xml:space="preserve">Psychotherapy</t>
  </si>
  <si>
    <t xml:space="preserve">Didactics</t>
  </si>
  <si>
    <t xml:space="preserve">PPTX/PDF</t>
  </si>
  <si>
    <t xml:space="preserve">Therapy modalities</t>
  </si>
  <si>
    <t xml:space="preserve">Harvest into Week 3</t>
  </si>
  <si>
    <t xml:space="preserve">Biopsychosocial Formulation Samples</t>
  </si>
  <si>
    <t xml:space="preserve">Clinical Skills</t>
  </si>
  <si>
    <t xml:space="preserve">Case Formulation</t>
  </si>
  <si>
    <t xml:space="preserve">Formulation</t>
  </si>
  <si>
    <t xml:space="preserve">Expand</t>
  </si>
  <si>
    <t xml:space="preserve">Build formulation worksheet</t>
  </si>
  <si>
    <t xml:space="preserve">Notion Teaching Curriculum DB + Teaching-Prep Agent</t>
  </si>
  <si>
    <t xml:space="preserve">AI &amp; Prompts</t>
  </si>
  <si>
    <t xml:space="preserve">Automation</t>
  </si>
  <si>
    <t xml:space="preserve">Teaching ops</t>
  </si>
  <si>
    <t xml:space="preserve">Wire to curriculum</t>
  </si>
  <si>
    <t xml:space="preserve">Mental Status Exam module (interactive + pocket guide)</t>
  </si>
  <si>
    <t xml:space="preserve">Mental Status Exam</t>
  </si>
  <si>
    <t xml:space="preserve">HTML+MD</t>
  </si>
  <si>
    <t xml:space="preserve">MSE</t>
  </si>
  <si>
    <t xml:space="preserve">02_Clinical_Skills/Mental_Status_Exam/</t>
  </si>
  <si>
    <t xml:space="preserve">BUILT: interactive tool + Codex pocket guide</t>
  </si>
  <si>
    <t xml:space="preserve">Decisional Capacity module (interactive)</t>
  </si>
  <si>
    <t xml:space="preserve">Acute &amp; Safety</t>
  </si>
  <si>
    <t xml:space="preserve">Decisional Capacity</t>
  </si>
  <si>
    <t xml:space="preserve">HTML</t>
  </si>
  <si>
    <t xml:space="preserve">Capacity</t>
  </si>
  <si>
    <t xml:space="preserve">04_Acute_and_Safety/Decisional_Capacity/</t>
  </si>
  <si>
    <t xml:space="preserve">BUILT: 4-abilities tool + note generator</t>
  </si>
  <si>
    <t xml:space="preserve">Oral Presentation / Rounds module (interactive)</t>
  </si>
  <si>
    <t xml:space="preserve">Oral Presentations</t>
  </si>
  <si>
    <t xml:space="preserve">Presentations</t>
  </si>
  <si>
    <t xml:space="preserve">15m</t>
  </si>
  <si>
    <t xml:space="preserve">02_Clinical_Skills/Oral_Presentations/</t>
  </si>
  <si>
    <t xml:space="preserve">BUILT: timer tool + Codex doc/present guide</t>
  </si>
  <si>
    <t xml:space="preserve">Psychiatric Interviewing module</t>
  </si>
  <si>
    <t xml:space="preserve">Interviewing</t>
  </si>
  <si>
    <t xml:space="preserve">Interview</t>
  </si>
  <si>
    <t xml:space="preserve">RSS scripts + decks</t>
  </si>
  <si>
    <t xml:space="preserve">Author interviewing module + clips</t>
  </si>
  <si>
    <t xml:space="preserve">Documentation exemplars + checklist</t>
  </si>
  <si>
    <t xml:space="preserve">Documentation</t>
  </si>
  <si>
    <t xml:space="preserve">Notes</t>
  </si>
  <si>
    <t xml:space="preserve">iCloud Clinical Tools (template)</t>
  </si>
  <si>
    <t xml:space="preserve">Author note exemplars</t>
  </si>
  <si>
    <t xml:space="preserve">Differential Diagnosis / Formulation pocket guide</t>
  </si>
  <si>
    <t xml:space="preserve">Differential Dx</t>
  </si>
  <si>
    <t xml:space="preserve">DDx</t>
  </si>
  <si>
    <t xml:space="preserve">14_Tracks/MS3/Student_Ready_Pack/02_pocket_guides/</t>
  </si>
  <si>
    <t xml:space="preserve">Covered by Codex formulation/DDx guide</t>
  </si>
  <si>
    <t xml:space="preserve">Psychiatric documentation template</t>
  </si>
  <si>
    <t xml:space="preserve">iCloud Clinical Tools</t>
  </si>
  <si>
    <t xml:space="preserve">Use as base</t>
  </si>
  <si>
    <t xml:space="preserve">BHU2 Top-20 Pocket Card 2026</t>
  </si>
  <si>
    <t xml:space="preserve">Pocket Reference</t>
  </si>
  <si>
    <t xml:space="preserve">Inpatient quick-ref</t>
  </si>
  <si>
    <t xml:space="preserve">~/BHU2_Top20_Pocket_Card_2026.html</t>
  </si>
  <si>
    <t xml:space="preserve">Flagship pocket card</t>
  </si>
  <si>
    <t xml:space="preserve">Suicide Safer-Discharge Checklist</t>
  </si>
  <si>
    <t xml:space="preserve">Suicide Risk</t>
  </si>
  <si>
    <t xml:space="preserve">Risk/disposition</t>
  </si>
  <si>
    <t xml:space="preserve">~/BHU2_Suicide_Safer_Discharge_Checklist.html</t>
  </si>
  <si>
    <t xml:space="preserve">Link Week 1/6</t>
  </si>
  <si>
    <t xml:space="preserve">C-SSRS / Safety-Plan EHR Field Spec</t>
  </si>
  <si>
    <t xml:space="preserve">Risk tools</t>
  </si>
  <si>
    <t xml:space="preserve">Resident/Faculty</t>
  </si>
  <si>
    <t xml:space="preserve">~/CSSRS_SafetyPlan_EHR_Field_Spec.docx</t>
  </si>
  <si>
    <t xml:space="preserve">Link to safety-plan skill</t>
  </si>
  <si>
    <t xml:space="preserve">Delirium Prevention Checklist + Order Set</t>
  </si>
  <si>
    <t xml:space="preserve">Delirium</t>
  </si>
  <si>
    <t xml:space="preserve">HTML/DOCX</t>
  </si>
  <si>
    <t xml:space="preserve">~/BHU2_Delirium_*</t>
  </si>
  <si>
    <t xml:space="preserve">Week 5</t>
  </si>
  <si>
    <t xml:space="preserve">Catatonia discharge instructions</t>
  </si>
  <si>
    <t xml:space="preserve">Catatonia</t>
  </si>
  <si>
    <t xml:space="preserve">~/Documents/.../catatonia dc instruct.pdf</t>
  </si>
  <si>
    <t xml:space="preserve">Pair with BFCRS card</t>
  </si>
  <si>
    <t xml:space="preserve">Restraint / Physical-Holding Checklist + Order Set</t>
  </si>
  <si>
    <t xml:space="preserve">Agitation/Restraint</t>
  </si>
  <si>
    <t xml:space="preserve">Agitation</t>
  </si>
  <si>
    <t xml:space="preserve">P2</t>
  </si>
  <si>
    <t xml:space="preserve">~/BHU2_Restraint_*</t>
  </si>
  <si>
    <t xml:space="preserve">Within agitation ladder</t>
  </si>
  <si>
    <t xml:space="preserve">Agitation management ladder module</t>
  </si>
  <si>
    <t xml:space="preserve">(restraint assets)</t>
  </si>
  <si>
    <t xml:space="preserve">Author verbal→PRN→restraint</t>
  </si>
  <si>
    <t xml:space="preserve">Withdrawal scales card — CIWA-Ar &amp; COWS (interactive)</t>
  </si>
  <si>
    <t xml:space="preserve">Core Topics</t>
  </si>
  <si>
    <t xml:space="preserve">SUD/Withdrawal</t>
  </si>
  <si>
    <t xml:space="preserve">Withdrawal</t>
  </si>
  <si>
    <t xml:space="preserve">03_Core_Topics/SUD_Withdrawal/</t>
  </si>
  <si>
    <t xml:space="preserve">BUILT: interactive tally + severity bands</t>
  </si>
  <si>
    <t xml:space="preserve">Violence-risk one-pager + Brøset (interactive)</t>
  </si>
  <si>
    <t xml:space="preserve">Violence Risk</t>
  </si>
  <si>
    <t xml:space="preserve">Violence risk</t>
  </si>
  <si>
    <t xml:space="preserve">04_Acute_and_Safety/Violence_Risk/</t>
  </si>
  <si>
    <t xml:space="preserve">BUILT: factors + BVC tally + management</t>
  </si>
  <si>
    <t xml:space="preserve">Benzodiazepine Taper Checklist + Order-Set Spec</t>
  </si>
  <si>
    <t xml:space="preserve">Protocol Library</t>
  </si>
  <si>
    <t xml:space="preserve">Taper</t>
  </si>
  <si>
    <t xml:space="preserve">~/BHU2_Benzodiazepine_*</t>
  </si>
  <si>
    <t xml:space="preserve">Protocol library</t>
  </si>
  <si>
    <t xml:space="preserve">Clozapine Post-REMS Workflow + Order-Set Spec</t>
  </si>
  <si>
    <t xml:space="preserve">Clozapine</t>
  </si>
  <si>
    <t xml:space="preserve">~/BHU2_Clozapine_*</t>
  </si>
  <si>
    <t xml:space="preserve">Student Psychopharm Primer (Top-10 inpatient)</t>
  </si>
  <si>
    <t xml:space="preserve">Student Primer</t>
  </si>
  <si>
    <t xml:space="preserve">(protocols + ASCP)</t>
  </si>
  <si>
    <t xml:space="preserve">Author student tier</t>
  </si>
  <si>
    <t xml:space="preserve">BHU2 Implementation Packet + Committee Deck</t>
  </si>
  <si>
    <t xml:space="preserve">Systems/QI</t>
  </si>
  <si>
    <t xml:space="preserve">DOCX/PPTX</t>
  </si>
  <si>
    <t xml:space="preserve">Implementation</t>
  </si>
  <si>
    <t xml:space="preserve">~/BHU2_Implementation_*</t>
  </si>
  <si>
    <t xml:space="preserve">Faculty/systems track</t>
  </si>
  <si>
    <t xml:space="preserve">Family Meeting Science suite (12-cases, sys review, taxonomy, LEFI)</t>
  </si>
  <si>
    <t xml:space="preserve">Family &amp; Relational</t>
  </si>
  <si>
    <t xml:space="preserve">Research+Teaching</t>
  </si>
  <si>
    <t xml:space="preserve">MD/XLSX</t>
  </si>
  <si>
    <t xml:space="preserve">Family therapy</t>
  </si>
  <si>
    <t xml:space="preserve">family-meeting-science/</t>
  </si>
  <si>
    <t xml:space="preserve">Core; link Week 4</t>
  </si>
  <si>
    <t xml:space="preserve">Family Meeting Playbook (90-min)</t>
  </si>
  <si>
    <t xml:space="preserve">Family Meeting</t>
  </si>
  <si>
    <t xml:space="preserve">Family meeting</t>
  </si>
  <si>
    <t xml:space="preserve">clinical-materials/Clinical_Implementation_Spine/</t>
  </si>
  <si>
    <t xml:space="preserve">Week 4 skill</t>
  </si>
  <si>
    <t xml:space="preserve">Family-Therapy Inpatient Didactic deck (CANONICAL)</t>
  </si>
  <si>
    <t xml:space="preserve">Didactic Deck</t>
  </si>
  <si>
    <t xml:space="preserve">PPTX</t>
  </si>
  <si>
    <t xml:space="preserve">Downloads/iCloud/GDrive (~12 versions)</t>
  </si>
  <si>
    <t xml:space="preserve">Pick 1 canonical; archive rest</t>
  </si>
  <si>
    <t xml:space="preserve">'The Family is the Milieu' FINAL</t>
  </si>
  <si>
    <t xml:space="preserve">Narrative Deck</t>
  </si>
  <si>
    <t xml:space="preserve">Downloads/iCloud</t>
  </si>
  <si>
    <t xml:space="preserve">Canonical narrative</t>
  </si>
  <si>
    <t xml:space="preserve">FTM papers/briefs + FTM audio library</t>
  </si>
  <si>
    <t xml:space="preserve">Reference/Audio</t>
  </si>
  <si>
    <t xml:space="preserve">PDF/Audio</t>
  </si>
  <si>
    <t xml:space="preserve">_assets/ftm-papers, _assets/ftm-audio</t>
  </si>
  <si>
    <t xml:space="preserve">Clinical Implementation Spine (First 3 Sessions, MVP Milieu, Adherence, Discharge)</t>
  </si>
  <si>
    <t xml:space="preserve">Milieu/family ops</t>
  </si>
  <si>
    <t xml:space="preserve">Faculty/resident track</t>
  </si>
  <si>
    <t xml:space="preserve">RSSM Master v11 (newest)</t>
  </si>
  <si>
    <t xml:space="preserve">RSS Framework</t>
  </si>
  <si>
    <t xml:space="preserve">RSSM model</t>
  </si>
  <si>
    <t xml:space="preserve">rssm-manual/RSSM_Master_v11.docx</t>
  </si>
  <si>
    <t xml:space="preserve">Canonical; archive v10</t>
  </si>
  <si>
    <t xml:space="preserve">RSSM publication set (journal article, appendices)</t>
  </si>
  <si>
    <t xml:space="preserve">RSS Publication</t>
  </si>
  <si>
    <t xml:space="preserve">MD/DOCX</t>
  </si>
  <si>
    <t xml:space="preserve">rssm-manual/publication/</t>
  </si>
  <si>
    <t xml:space="preserve">Keep</t>
  </si>
  <si>
    <t xml:space="preserve">RSSM Master v10 (stray copies)</t>
  </si>
  <si>
    <t xml:space="preserve">Archive</t>
  </si>
  <si>
    <t xml:space="preserve">Stale Version</t>
  </si>
  <si>
    <t xml:space="preserve">Low</t>
  </si>
  <si>
    <t xml:space="preserve">~/Downloads + rssm-manual</t>
  </si>
  <si>
    <t xml:space="preserve">Move to 99_Archive</t>
  </si>
  <si>
    <t xml:space="preserve">Psychoed Library (patient/family/infographics/journey)</t>
  </si>
  <si>
    <t xml:space="preserve">Psychoeducation</t>
  </si>
  <si>
    <t xml:space="preserve">Patient education</t>
  </si>
  <si>
    <t xml:space="preserve">Patient/Family</t>
  </si>
  <si>
    <t xml:space="preserve">psychoed-library/ (processed)</t>
  </si>
  <si>
    <t xml:space="preserve">Read-only ref in 10_</t>
  </si>
  <si>
    <t xml:space="preserve">Psychoed Library — Raw_Records (1,339)</t>
  </si>
  <si>
    <t xml:space="preserve">Raw Export</t>
  </si>
  <si>
    <t xml:space="preserve">Raw export</t>
  </si>
  <si>
    <t xml:space="preserve">psychoed-library/Raw_Records/</t>
  </si>
  <si>
    <t xml:space="preserve">Archive after verifying processed</t>
  </si>
  <si>
    <t xml:space="preserve">Post-Discharge Kit (bundles by dx, perinatal, crisis)</t>
  </si>
  <si>
    <t xml:space="preserve">Discharge Bundles</t>
  </si>
  <si>
    <t xml:space="preserve">Disposition</t>
  </si>
  <si>
    <t xml:space="preserve">post-discharge-kit/</t>
  </si>
  <si>
    <t xml:space="preserve">Link to disposition</t>
  </si>
  <si>
    <t xml:space="preserve">Population Adaptations (Forensic, Refugee, IDD, Perinatal)</t>
  </si>
  <si>
    <t xml:space="preserve">Tracks</t>
  </si>
  <si>
    <t xml:space="preserve">Population-Specific</t>
  </si>
  <si>
    <t xml:space="preserve">MD/PNG</t>
  </si>
  <si>
    <t xml:space="preserve">Special populations</t>
  </si>
  <si>
    <t xml:space="preserve">population-adaptations/</t>
  </si>
  <si>
    <t xml:space="preserve">Multi-track seed</t>
  </si>
  <si>
    <t xml:space="preserve">Depression First Steps; SSRI First 6 Weeks (patient)</t>
  </si>
  <si>
    <t xml:space="preserve">Depression/SSRI</t>
  </si>
  <si>
    <t xml:space="preserve">Patient</t>
  </si>
  <si>
    <t xml:space="preserve">~/Depression_First_Steps_PAT.html</t>
  </si>
  <si>
    <t xml:space="preserve">Link in 10_</t>
  </si>
  <si>
    <t xml:space="preserve">Book + Podcast Library seed catalog (verified)</t>
  </si>
  <si>
    <t xml:space="preserve">Bibliotherapy</t>
  </si>
  <si>
    <t xml:space="preserve">Books/podcasts</t>
  </si>
  <si>
    <t xml:space="preserve">Patient/Clinician</t>
  </si>
  <si>
    <t xml:space="preserve">Shelf High-Yield review guide</t>
  </si>
  <si>
    <t xml:space="preserve">Exam Prep</t>
  </si>
  <si>
    <t xml:space="preserve">Shelf/NBME</t>
  </si>
  <si>
    <t xml:space="preserve">Exam prep</t>
  </si>
  <si>
    <t xml:space="preserve">2h</t>
  </si>
  <si>
    <t xml:space="preserve">14_Tracks/MS3/Student_Ready_Pack/07_shelf_guide/</t>
  </si>
  <si>
    <t xml:space="preserve">Filled by Codex shelf review guide</t>
  </si>
  <si>
    <t xml:space="preserve">OSCE Station set (6 stations + checklists)</t>
  </si>
  <si>
    <t xml:space="preserve">OSCE</t>
  </si>
  <si>
    <t xml:space="preserve">14_Tracks/MS3/Student_Ready_Pack/06_osce_cases/</t>
  </si>
  <si>
    <t xml:space="preserve">Filled by Codex 6-station OSCE set</t>
  </si>
  <si>
    <t xml:space="preserve">Reflection + PIF prompt set (interactive)</t>
  </si>
  <si>
    <t xml:space="preserve">Reflection/PIF</t>
  </si>
  <si>
    <t xml:space="preserve">Professional identity</t>
  </si>
  <si>
    <t xml:space="preserve">10m each</t>
  </si>
  <si>
    <t xml:space="preserve">02_Clinical_Skills/Reflection_PIF/</t>
  </si>
  <si>
    <t xml:space="preserve">BUILT: 6 weekly + ethics prompts, journaling</t>
  </si>
  <si>
    <t xml:space="preserve">MS3 Student Ready Pack (Codex — 15 files)</t>
  </si>
  <si>
    <t xml:space="preserve">MS3 Track</t>
  </si>
  <si>
    <t xml:space="preserve">Orientation/skills/OSCE/shelf/cases</t>
  </si>
  <si>
    <t xml:space="preserve">Intro→Inter</t>
  </si>
  <si>
    <t xml:space="preserve">14_Tracks/MS3/Student_Ready_Pack/</t>
  </si>
  <si>
    <t xml:space="preserve">Adopted from Codex; pairs with interactive tools</t>
  </si>
  <si>
    <t xml:space="preserve">Exhaustive file census + duplicate log (Codex)</t>
  </si>
  <si>
    <t xml:space="preserve">Census/Data</t>
  </si>
  <si>
    <t xml:space="preserve">CSV/JSON</t>
  </si>
  <si>
    <t xml:space="preserve">Inventory</t>
  </si>
  <si>
    <t xml:space="preserve">00_START_HERE/_audit-census-codex/</t>
  </si>
  <si>
    <t xml:space="preserve">Inventory of record: 11,700 files / 2,785 dup groups</t>
  </si>
  <si>
    <t xml:space="preserve">Interview &amp; MSE Pocket Guide (Codex)</t>
  </si>
  <si>
    <t xml:space="preserve">Interview/MSE</t>
  </si>
  <si>
    <t xml:space="preserve">…/Student_Ready_Pack/02_pocket_guides/</t>
  </si>
  <si>
    <t xml:space="preserve">Reference companion to MSE module</t>
  </si>
  <si>
    <t xml:space="preserve">MS3 Orientation Packet (Codex)</t>
  </si>
  <si>
    <t xml:space="preserve">…/Student_Ready_Pack/01_orientation/</t>
  </si>
  <si>
    <t xml:space="preserve">Closes orientation gap</t>
  </si>
  <si>
    <t xml:space="preserve">Clinical Warm Design System</t>
  </si>
  <si>
    <t xml:space="preserve">Design/Style</t>
  </si>
  <si>
    <t xml:space="preserve">Styling</t>
  </si>
  <si>
    <t xml:space="preserve">~/clinical-warm-design-system.html</t>
  </si>
  <si>
    <t xml:space="preserve">Apply to public mirror</t>
  </si>
  <si>
    <t xml:space="preserve">Psychiatry Clerkship Library — Index Summary</t>
  </si>
  <si>
    <t xml:space="preserve">Auto-computed from the Master Index sheet</t>
  </si>
  <si>
    <t xml:space="preserve">By Status</t>
  </si>
  <si>
    <t xml:space="preserve">By Priority</t>
  </si>
  <si>
    <t xml:space="preserve">Create</t>
  </si>
  <si>
    <t xml:space="preserve">TOTAL</t>
  </si>
  <si>
    <t xml:space="preserve">By Category</t>
  </si>
  <si>
    <t xml:space="preserve">Status legend</t>
  </si>
  <si>
    <t xml:space="preserve">usable today</t>
  </si>
  <si>
    <t xml:space="preserve">update/fix drift</t>
  </si>
  <si>
    <t xml:space="preserve">extend existing</t>
  </si>
  <si>
    <t xml:space="preserve">net-new authoring</t>
  </si>
  <si>
    <t xml:space="preserve">dedupe to canonical</t>
  </si>
  <si>
    <t xml:space="preserve">retire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</si>
</sst>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2EFDA"/>
        <bgColor rgb="FFDDEBF7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CE4D6"/>
      </patternFill>
    </fill>
    <fill>
      <patternFill patternType="solid">
        <fgColor rgb="FFED7D31"/>
        <bgColor rgb="FFFF8080"/>
      </patternFill>
    </fill>
    <fill>
      <patternFill patternType="solid">
        <fgColor rgb="FFA6A6A6"/>
        <bgColor rgb="FFC0C0C0"/>
      </patternFill>
    </fill>
    <fill>
      <patternFill patternType="solid">
        <fgColor rgb="FFDDEBF7"/>
        <bgColor rgb="FFE2EFDA"/>
      </patternFill>
    </fill>
    <fill>
      <patternFill patternType="solid">
        <fgColor rgb="FFFFC000"/>
        <bgColor rgb="FFFF9900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D7D31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000"/>
      <rgbColor rgb="FFFF9900"/>
      <rgbColor rgb="FFED7D31"/>
      <rgbColor rgb="FF666699"/>
      <rgbColor rgb="FFA6A6A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3"/>
    <col collapsed="false" customWidth="true" hidden="false" outlineLevel="0" max="11" min="11" style="0" width="9"/>
    <col collapsed="false" customWidth="true" hidden="false" outlineLevel="0" max="12" min="12" style="0" width="34"/>
    <col collapsed="false" customWidth="true" hidden="false" outlineLevel="0" max="13" min="13" style="0" width="3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3.85" hidden="false" customHeight="false" outlineLevel="0" collapsed="false">
      <c r="A2" s="2" t="s">
        <v>13</v>
      </c>
      <c r="B2" s="2" t="s">
        <v>14</v>
      </c>
      <c r="C2" s="2" t="s">
        <v>15</v>
      </c>
      <c r="D2" s="3" t="s">
        <v>16</v>
      </c>
      <c r="E2" s="2" t="s">
        <v>17</v>
      </c>
      <c r="F2" s="2" t="s">
        <v>18</v>
      </c>
      <c r="G2" s="3" t="s">
        <v>19</v>
      </c>
      <c r="H2" s="3" t="s">
        <v>20</v>
      </c>
      <c r="I2" s="3" t="s">
        <v>21</v>
      </c>
      <c r="J2" s="4" t="s">
        <v>22</v>
      </c>
      <c r="K2" s="5" t="s">
        <v>23</v>
      </c>
      <c r="L2" s="2" t="s">
        <v>24</v>
      </c>
      <c r="M2" s="2" t="s">
        <v>25</v>
      </c>
    </row>
    <row r="3" customFormat="false" ht="15" hidden="false" customHeight="false" outlineLevel="0" collapsed="false">
      <c r="A3" s="2" t="s">
        <v>26</v>
      </c>
      <c r="B3" s="2" t="s">
        <v>14</v>
      </c>
      <c r="C3" s="2" t="s">
        <v>27</v>
      </c>
      <c r="D3" s="3" t="s">
        <v>16</v>
      </c>
      <c r="E3" s="2" t="s">
        <v>28</v>
      </c>
      <c r="F3" s="2" t="s">
        <v>18</v>
      </c>
      <c r="G3" s="3" t="s">
        <v>19</v>
      </c>
      <c r="H3" s="3" t="s">
        <v>29</v>
      </c>
      <c r="I3" s="3" t="s">
        <v>30</v>
      </c>
      <c r="J3" s="6" t="s">
        <v>31</v>
      </c>
      <c r="K3" s="7" t="s">
        <v>32</v>
      </c>
      <c r="L3" s="2" t="s">
        <v>33</v>
      </c>
      <c r="M3" s="2" t="s">
        <v>34</v>
      </c>
    </row>
    <row r="4" customFormat="false" ht="15" hidden="false" customHeight="false" outlineLevel="0" collapsed="false">
      <c r="A4" s="2" t="s">
        <v>35</v>
      </c>
      <c r="B4" s="2" t="s">
        <v>14</v>
      </c>
      <c r="C4" s="2" t="s">
        <v>27</v>
      </c>
      <c r="D4" s="3" t="s">
        <v>16</v>
      </c>
      <c r="E4" s="2" t="s">
        <v>36</v>
      </c>
      <c r="F4" s="2" t="s">
        <v>18</v>
      </c>
      <c r="G4" s="3" t="s">
        <v>19</v>
      </c>
      <c r="H4" s="3" t="s">
        <v>37</v>
      </c>
      <c r="I4" s="3" t="s">
        <v>30</v>
      </c>
      <c r="J4" s="4" t="s">
        <v>22</v>
      </c>
      <c r="K4" s="8" t="s">
        <v>38</v>
      </c>
      <c r="L4" s="2" t="s">
        <v>39</v>
      </c>
      <c r="M4" s="2" t="s">
        <v>40</v>
      </c>
    </row>
    <row r="5" customFormat="false" ht="15" hidden="false" customHeight="false" outlineLevel="0" collapsed="false">
      <c r="A5" s="2" t="s">
        <v>41</v>
      </c>
      <c r="B5" s="2" t="s">
        <v>42</v>
      </c>
      <c r="C5" s="2" t="s">
        <v>43</v>
      </c>
      <c r="D5" s="3" t="s">
        <v>44</v>
      </c>
      <c r="E5" s="2" t="s">
        <v>45</v>
      </c>
      <c r="F5" s="2" t="s">
        <v>46</v>
      </c>
      <c r="G5" s="3" t="s">
        <v>47</v>
      </c>
      <c r="H5" s="3" t="s">
        <v>29</v>
      </c>
      <c r="I5" s="3" t="s">
        <v>21</v>
      </c>
      <c r="J5" s="6" t="s">
        <v>31</v>
      </c>
      <c r="K5" s="7" t="s">
        <v>32</v>
      </c>
      <c r="L5" s="2" t="s">
        <v>48</v>
      </c>
      <c r="M5" s="2" t="s">
        <v>49</v>
      </c>
    </row>
    <row r="6" customFormat="false" ht="23.85" hidden="false" customHeight="false" outlineLevel="0" collapsed="false">
      <c r="A6" s="2" t="s">
        <v>50</v>
      </c>
      <c r="B6" s="2" t="s">
        <v>18</v>
      </c>
      <c r="C6" s="2" t="s">
        <v>51</v>
      </c>
      <c r="D6" s="3" t="s">
        <v>52</v>
      </c>
      <c r="E6" s="2" t="s">
        <v>53</v>
      </c>
      <c r="F6" s="2" t="s">
        <v>18</v>
      </c>
      <c r="G6" s="3" t="s">
        <v>19</v>
      </c>
      <c r="H6" s="3" t="s">
        <v>54</v>
      </c>
      <c r="I6" s="3" t="s">
        <v>21</v>
      </c>
      <c r="J6" s="4" t="s">
        <v>22</v>
      </c>
      <c r="K6" s="5" t="s">
        <v>23</v>
      </c>
      <c r="L6" s="2" t="s">
        <v>55</v>
      </c>
      <c r="M6" s="2" t="s">
        <v>56</v>
      </c>
    </row>
    <row r="7" customFormat="false" ht="23.85" hidden="false" customHeight="false" outlineLevel="0" collapsed="false">
      <c r="A7" s="2" t="s">
        <v>57</v>
      </c>
      <c r="B7" s="2" t="s">
        <v>58</v>
      </c>
      <c r="C7" s="2" t="s">
        <v>59</v>
      </c>
      <c r="D7" s="3" t="s">
        <v>16</v>
      </c>
      <c r="E7" s="2" t="s">
        <v>60</v>
      </c>
      <c r="F7" s="2" t="s">
        <v>61</v>
      </c>
      <c r="G7" s="3" t="s">
        <v>62</v>
      </c>
      <c r="H7" s="3" t="s">
        <v>63</v>
      </c>
      <c r="I7" s="3" t="s">
        <v>21</v>
      </c>
      <c r="J7" s="6" t="s">
        <v>31</v>
      </c>
      <c r="K7" s="5" t="s">
        <v>23</v>
      </c>
      <c r="L7" s="2" t="s">
        <v>64</v>
      </c>
      <c r="M7" s="2" t="s">
        <v>65</v>
      </c>
    </row>
    <row r="8" customFormat="false" ht="15" hidden="false" customHeight="false" outlineLevel="0" collapsed="false">
      <c r="A8" s="2" t="s">
        <v>66</v>
      </c>
      <c r="B8" s="2" t="s">
        <v>58</v>
      </c>
      <c r="C8" s="2" t="s">
        <v>67</v>
      </c>
      <c r="D8" s="3" t="s">
        <v>16</v>
      </c>
      <c r="E8" s="2" t="s">
        <v>68</v>
      </c>
      <c r="F8" s="2" t="s">
        <v>46</v>
      </c>
      <c r="G8" s="3" t="s">
        <v>69</v>
      </c>
      <c r="H8" s="3" t="s">
        <v>70</v>
      </c>
      <c r="I8" s="3" t="s">
        <v>21</v>
      </c>
      <c r="J8" s="6" t="s">
        <v>31</v>
      </c>
      <c r="K8" s="5" t="s">
        <v>23</v>
      </c>
      <c r="L8" s="2" t="s">
        <v>71</v>
      </c>
      <c r="M8" s="2" t="s">
        <v>72</v>
      </c>
    </row>
    <row r="9" customFormat="false" ht="15" hidden="false" customHeight="false" outlineLevel="0" collapsed="false">
      <c r="A9" s="2" t="s">
        <v>73</v>
      </c>
      <c r="B9" s="2" t="s">
        <v>58</v>
      </c>
      <c r="C9" s="2" t="s">
        <v>74</v>
      </c>
      <c r="D9" s="3" t="s">
        <v>16</v>
      </c>
      <c r="E9" s="2" t="s">
        <v>75</v>
      </c>
      <c r="F9" s="2" t="s">
        <v>76</v>
      </c>
      <c r="G9" s="3" t="s">
        <v>77</v>
      </c>
      <c r="H9" s="3" t="s">
        <v>78</v>
      </c>
      <c r="I9" s="3" t="s">
        <v>21</v>
      </c>
      <c r="J9" s="4" t="s">
        <v>22</v>
      </c>
      <c r="K9" s="7" t="s">
        <v>32</v>
      </c>
      <c r="L9" s="2" t="s">
        <v>71</v>
      </c>
      <c r="M9" s="2" t="s">
        <v>79</v>
      </c>
    </row>
    <row r="10" customFormat="false" ht="15" hidden="false" customHeight="false" outlineLevel="0" collapsed="false">
      <c r="A10" s="2" t="s">
        <v>80</v>
      </c>
      <c r="B10" s="2" t="s">
        <v>18</v>
      </c>
      <c r="C10" s="2" t="s">
        <v>81</v>
      </c>
      <c r="D10" s="3" t="s">
        <v>16</v>
      </c>
      <c r="E10" s="2" t="s">
        <v>82</v>
      </c>
      <c r="F10" s="2" t="s">
        <v>83</v>
      </c>
      <c r="G10" s="3" t="s">
        <v>77</v>
      </c>
      <c r="H10" s="3" t="s">
        <v>84</v>
      </c>
      <c r="I10" s="3" t="s">
        <v>21</v>
      </c>
      <c r="J10" s="4" t="s">
        <v>22</v>
      </c>
      <c r="K10" s="7" t="s">
        <v>32</v>
      </c>
      <c r="L10" s="2" t="s">
        <v>71</v>
      </c>
      <c r="M10" s="2" t="s">
        <v>85</v>
      </c>
    </row>
    <row r="11" customFormat="false" ht="15" hidden="false" customHeight="false" outlineLevel="0" collapsed="false">
      <c r="A11" s="2" t="s">
        <v>86</v>
      </c>
      <c r="B11" s="2" t="s">
        <v>58</v>
      </c>
      <c r="C11" s="2" t="s">
        <v>59</v>
      </c>
      <c r="D11" s="3" t="s">
        <v>87</v>
      </c>
      <c r="E11" s="2" t="s">
        <v>60</v>
      </c>
      <c r="F11" s="2" t="s">
        <v>88</v>
      </c>
      <c r="G11" s="3" t="s">
        <v>62</v>
      </c>
      <c r="H11" s="3" t="s">
        <v>63</v>
      </c>
      <c r="I11" s="3" t="s">
        <v>21</v>
      </c>
      <c r="J11" s="6" t="s">
        <v>89</v>
      </c>
      <c r="K11" s="5" t="s">
        <v>23</v>
      </c>
      <c r="L11" s="2" t="s">
        <v>90</v>
      </c>
      <c r="M11" s="2" t="s">
        <v>91</v>
      </c>
    </row>
    <row r="12" customFormat="false" ht="15" hidden="false" customHeight="false" outlineLevel="0" collapsed="false">
      <c r="A12" s="2" t="s">
        <v>92</v>
      </c>
      <c r="B12" s="2" t="s">
        <v>58</v>
      </c>
      <c r="C12" s="2" t="s">
        <v>59</v>
      </c>
      <c r="D12" s="3" t="s">
        <v>93</v>
      </c>
      <c r="E12" s="2" t="s">
        <v>94</v>
      </c>
      <c r="F12" s="2" t="s">
        <v>95</v>
      </c>
      <c r="G12" s="3" t="s">
        <v>77</v>
      </c>
      <c r="H12" s="3" t="s">
        <v>84</v>
      </c>
      <c r="I12" s="3" t="s">
        <v>21</v>
      </c>
      <c r="J12" s="4" t="s">
        <v>22</v>
      </c>
      <c r="K12" s="7" t="s">
        <v>32</v>
      </c>
      <c r="L12" s="2" t="s">
        <v>90</v>
      </c>
      <c r="M12" s="2" t="s">
        <v>96</v>
      </c>
    </row>
    <row r="13" customFormat="false" ht="15" hidden="false" customHeight="false" outlineLevel="0" collapsed="false">
      <c r="A13" s="2" t="s">
        <v>97</v>
      </c>
      <c r="B13" s="2" t="s">
        <v>18</v>
      </c>
      <c r="C13" s="2" t="s">
        <v>74</v>
      </c>
      <c r="D13" s="3" t="s">
        <v>93</v>
      </c>
      <c r="E13" s="2" t="s">
        <v>98</v>
      </c>
      <c r="F13" s="2" t="s">
        <v>18</v>
      </c>
      <c r="G13" s="3" t="s">
        <v>77</v>
      </c>
      <c r="H13" s="3" t="s">
        <v>54</v>
      </c>
      <c r="I13" s="3" t="s">
        <v>21</v>
      </c>
      <c r="J13" s="4" t="s">
        <v>22</v>
      </c>
      <c r="K13" s="7" t="s">
        <v>32</v>
      </c>
      <c r="L13" s="2" t="s">
        <v>90</v>
      </c>
      <c r="M13" s="2" t="s">
        <v>99</v>
      </c>
    </row>
    <row r="14" customFormat="false" ht="15" hidden="false" customHeight="false" outlineLevel="0" collapsed="false">
      <c r="A14" s="2" t="s">
        <v>100</v>
      </c>
      <c r="B14" s="2" t="s">
        <v>58</v>
      </c>
      <c r="C14" s="2" t="s">
        <v>59</v>
      </c>
      <c r="D14" s="3" t="s">
        <v>101</v>
      </c>
      <c r="E14" s="2" t="s">
        <v>60</v>
      </c>
      <c r="F14" s="2" t="s">
        <v>88</v>
      </c>
      <c r="G14" s="3" t="s">
        <v>62</v>
      </c>
      <c r="H14" s="3" t="s">
        <v>63</v>
      </c>
      <c r="I14" s="3" t="s">
        <v>21</v>
      </c>
      <c r="J14" s="6" t="s">
        <v>89</v>
      </c>
      <c r="K14" s="5" t="s">
        <v>23</v>
      </c>
      <c r="L14" s="2" t="s">
        <v>102</v>
      </c>
      <c r="M14" s="2" t="s">
        <v>103</v>
      </c>
    </row>
    <row r="15" customFormat="false" ht="23.85" hidden="false" customHeight="false" outlineLevel="0" collapsed="false">
      <c r="A15" s="2" t="s">
        <v>104</v>
      </c>
      <c r="B15" s="2" t="s">
        <v>105</v>
      </c>
      <c r="C15" s="2" t="s">
        <v>106</v>
      </c>
      <c r="D15" s="3" t="s">
        <v>87</v>
      </c>
      <c r="E15" s="2" t="s">
        <v>107</v>
      </c>
      <c r="F15" s="2" t="s">
        <v>83</v>
      </c>
      <c r="G15" s="3" t="s">
        <v>108</v>
      </c>
      <c r="H15" s="3" t="s">
        <v>63</v>
      </c>
      <c r="I15" s="3" t="s">
        <v>21</v>
      </c>
      <c r="J15" s="4" t="s">
        <v>22</v>
      </c>
      <c r="K15" s="8" t="s">
        <v>38</v>
      </c>
      <c r="L15" s="2" t="s">
        <v>109</v>
      </c>
      <c r="M15" s="2" t="s">
        <v>110</v>
      </c>
    </row>
    <row r="16" customFormat="false" ht="35.05" hidden="false" customHeight="false" outlineLevel="0" collapsed="false">
      <c r="A16" s="2" t="s">
        <v>111</v>
      </c>
      <c r="B16" s="2" t="s">
        <v>58</v>
      </c>
      <c r="C16" s="2" t="s">
        <v>112</v>
      </c>
      <c r="D16" s="3" t="s">
        <v>44</v>
      </c>
      <c r="E16" s="2" t="s">
        <v>113</v>
      </c>
      <c r="F16" s="2" t="s">
        <v>83</v>
      </c>
      <c r="G16" s="3" t="s">
        <v>108</v>
      </c>
      <c r="H16" s="3" t="s">
        <v>63</v>
      </c>
      <c r="I16" s="3" t="s">
        <v>21</v>
      </c>
      <c r="J16" s="4" t="s">
        <v>22</v>
      </c>
      <c r="K16" s="7" t="s">
        <v>32</v>
      </c>
      <c r="L16" s="2" t="s">
        <v>114</v>
      </c>
      <c r="M16" s="2" t="s">
        <v>115</v>
      </c>
    </row>
    <row r="17" customFormat="false" ht="15" hidden="false" customHeight="false" outlineLevel="0" collapsed="false">
      <c r="A17" s="2" t="s">
        <v>116</v>
      </c>
      <c r="B17" s="2" t="s">
        <v>58</v>
      </c>
      <c r="C17" s="2" t="s">
        <v>112</v>
      </c>
      <c r="D17" s="3" t="s">
        <v>16</v>
      </c>
      <c r="E17" s="2" t="s">
        <v>117</v>
      </c>
      <c r="F17" s="2" t="s">
        <v>95</v>
      </c>
      <c r="G17" s="3" t="s">
        <v>77</v>
      </c>
      <c r="H17" s="3" t="s">
        <v>29</v>
      </c>
      <c r="I17" s="3" t="s">
        <v>30</v>
      </c>
      <c r="J17" s="6" t="s">
        <v>31</v>
      </c>
      <c r="K17" s="7" t="s">
        <v>32</v>
      </c>
      <c r="L17" s="2" t="s">
        <v>118</v>
      </c>
      <c r="M17" s="2" t="s">
        <v>119</v>
      </c>
    </row>
    <row r="18" customFormat="false" ht="35.05" hidden="false" customHeight="false" outlineLevel="0" collapsed="false">
      <c r="A18" s="2" t="s">
        <v>120</v>
      </c>
      <c r="B18" s="2" t="s">
        <v>121</v>
      </c>
      <c r="C18" s="2" t="s">
        <v>122</v>
      </c>
      <c r="D18" s="3" t="s">
        <v>123</v>
      </c>
      <c r="E18" s="2" t="s">
        <v>124</v>
      </c>
      <c r="F18" s="2" t="s">
        <v>76</v>
      </c>
      <c r="G18" s="3" t="s">
        <v>77</v>
      </c>
      <c r="H18" s="3" t="s">
        <v>63</v>
      </c>
      <c r="I18" s="3" t="s">
        <v>21</v>
      </c>
      <c r="J18" s="4" t="s">
        <v>22</v>
      </c>
      <c r="K18" s="5" t="s">
        <v>23</v>
      </c>
      <c r="L18" s="2" t="s">
        <v>125</v>
      </c>
      <c r="M18" s="2" t="s">
        <v>126</v>
      </c>
    </row>
    <row r="19" customFormat="false" ht="23.85" hidden="false" customHeight="false" outlineLevel="0" collapsed="false">
      <c r="A19" s="2" t="s">
        <v>127</v>
      </c>
      <c r="B19" s="2" t="s">
        <v>128</v>
      </c>
      <c r="C19" s="2" t="s">
        <v>129</v>
      </c>
      <c r="D19" s="3" t="s">
        <v>16</v>
      </c>
      <c r="E19" s="2" t="s">
        <v>130</v>
      </c>
      <c r="F19" s="2" t="s">
        <v>76</v>
      </c>
      <c r="G19" s="3" t="s">
        <v>77</v>
      </c>
      <c r="H19" s="3" t="s">
        <v>54</v>
      </c>
      <c r="I19" s="3" t="s">
        <v>21</v>
      </c>
      <c r="J19" s="6" t="s">
        <v>31</v>
      </c>
      <c r="K19" s="7" t="s">
        <v>32</v>
      </c>
      <c r="L19" s="2" t="s">
        <v>131</v>
      </c>
      <c r="M19" s="2" t="s">
        <v>132</v>
      </c>
    </row>
    <row r="20" customFormat="false" ht="15" hidden="false" customHeight="false" outlineLevel="0" collapsed="false">
      <c r="A20" s="2" t="s">
        <v>133</v>
      </c>
      <c r="B20" s="2" t="s">
        <v>134</v>
      </c>
      <c r="C20" s="2" t="s">
        <v>135</v>
      </c>
      <c r="D20" s="3" t="s">
        <v>16</v>
      </c>
      <c r="E20" s="2" t="s">
        <v>136</v>
      </c>
      <c r="F20" s="2" t="s">
        <v>88</v>
      </c>
      <c r="G20" s="3" t="s">
        <v>47</v>
      </c>
      <c r="H20" s="3" t="s">
        <v>137</v>
      </c>
      <c r="I20" s="3" t="s">
        <v>30</v>
      </c>
      <c r="J20" s="6" t="s">
        <v>89</v>
      </c>
      <c r="K20" s="5" t="s">
        <v>23</v>
      </c>
      <c r="L20" s="2" t="s">
        <v>138</v>
      </c>
      <c r="M20" s="2" t="s">
        <v>139</v>
      </c>
    </row>
    <row r="21" customFormat="false" ht="23.85" hidden="false" customHeight="false" outlineLevel="0" collapsed="false">
      <c r="A21" s="2" t="s">
        <v>140</v>
      </c>
      <c r="B21" s="2" t="s">
        <v>134</v>
      </c>
      <c r="C21" s="2" t="s">
        <v>141</v>
      </c>
      <c r="D21" s="3" t="s">
        <v>142</v>
      </c>
      <c r="E21" s="2" t="s">
        <v>143</v>
      </c>
      <c r="F21" s="2" t="s">
        <v>88</v>
      </c>
      <c r="G21" s="3" t="s">
        <v>62</v>
      </c>
      <c r="H21" s="3" t="s">
        <v>144</v>
      </c>
      <c r="I21" s="3" t="s">
        <v>30</v>
      </c>
      <c r="J21" s="4" t="s">
        <v>22</v>
      </c>
      <c r="K21" s="8" t="s">
        <v>38</v>
      </c>
      <c r="L21" s="2" t="s">
        <v>145</v>
      </c>
      <c r="M21" s="2" t="s">
        <v>146</v>
      </c>
    </row>
    <row r="22" customFormat="false" ht="15" hidden="false" customHeight="false" outlineLevel="0" collapsed="false">
      <c r="A22" s="2" t="s">
        <v>147</v>
      </c>
      <c r="B22" s="2" t="s">
        <v>148</v>
      </c>
      <c r="C22" s="2" t="s">
        <v>149</v>
      </c>
      <c r="D22" s="3" t="s">
        <v>62</v>
      </c>
      <c r="E22" s="2" t="s">
        <v>150</v>
      </c>
      <c r="F22" s="2" t="s">
        <v>151</v>
      </c>
      <c r="G22" s="3" t="s">
        <v>47</v>
      </c>
      <c r="H22" s="3" t="s">
        <v>63</v>
      </c>
      <c r="I22" s="3" t="s">
        <v>30</v>
      </c>
      <c r="J22" s="4" t="s">
        <v>22</v>
      </c>
      <c r="K22" s="8" t="s">
        <v>38</v>
      </c>
      <c r="L22" s="2" t="s">
        <v>152</v>
      </c>
      <c r="M22" s="2" t="s">
        <v>153</v>
      </c>
    </row>
    <row r="23" customFormat="false" ht="23.85" hidden="false" customHeight="false" outlineLevel="0" collapsed="false">
      <c r="A23" s="2" t="s">
        <v>154</v>
      </c>
      <c r="B23" s="2" t="s">
        <v>155</v>
      </c>
      <c r="C23" s="2" t="s">
        <v>156</v>
      </c>
      <c r="D23" s="3" t="s">
        <v>157</v>
      </c>
      <c r="E23" s="2" t="s">
        <v>158</v>
      </c>
      <c r="F23" s="2" t="s">
        <v>76</v>
      </c>
      <c r="G23" s="3" t="s">
        <v>77</v>
      </c>
      <c r="H23" s="3" t="s">
        <v>78</v>
      </c>
      <c r="I23" s="3" t="s">
        <v>21</v>
      </c>
      <c r="J23" s="4" t="s">
        <v>22</v>
      </c>
      <c r="K23" s="7" t="s">
        <v>32</v>
      </c>
      <c r="L23" s="2" t="s">
        <v>109</v>
      </c>
      <c r="M23" s="2" t="s">
        <v>159</v>
      </c>
    </row>
    <row r="24" customFormat="false" ht="15" hidden="false" customHeight="false" outlineLevel="0" collapsed="false">
      <c r="A24" s="2" t="s">
        <v>160</v>
      </c>
      <c r="B24" s="2" t="s">
        <v>161</v>
      </c>
      <c r="C24" s="2" t="s">
        <v>162</v>
      </c>
      <c r="D24" s="3" t="s">
        <v>44</v>
      </c>
      <c r="E24" s="2" t="s">
        <v>163</v>
      </c>
      <c r="F24" s="2" t="s">
        <v>46</v>
      </c>
      <c r="G24" s="3" t="s">
        <v>47</v>
      </c>
      <c r="H24" s="3" t="s">
        <v>29</v>
      </c>
      <c r="I24" s="3" t="s">
        <v>21</v>
      </c>
      <c r="J24" s="9" t="s">
        <v>164</v>
      </c>
      <c r="K24" s="7" t="s">
        <v>32</v>
      </c>
      <c r="L24" s="2" t="s">
        <v>109</v>
      </c>
      <c r="M24" s="2" t="s">
        <v>165</v>
      </c>
    </row>
    <row r="25" customFormat="false" ht="23.85" hidden="false" customHeight="false" outlineLevel="0" collapsed="false">
      <c r="A25" s="2" t="s">
        <v>166</v>
      </c>
      <c r="B25" s="2" t="s">
        <v>167</v>
      </c>
      <c r="C25" s="2" t="s">
        <v>168</v>
      </c>
      <c r="D25" s="3" t="s">
        <v>102</v>
      </c>
      <c r="E25" s="2" t="s">
        <v>169</v>
      </c>
      <c r="F25" s="2" t="s">
        <v>18</v>
      </c>
      <c r="G25" s="3" t="s">
        <v>19</v>
      </c>
      <c r="H25" s="3" t="s">
        <v>19</v>
      </c>
      <c r="I25" s="3" t="s">
        <v>30</v>
      </c>
      <c r="J25" s="4" t="s">
        <v>22</v>
      </c>
      <c r="K25" s="8" t="s">
        <v>38</v>
      </c>
      <c r="L25" s="2" t="s">
        <v>102</v>
      </c>
      <c r="M25" s="2" t="s">
        <v>170</v>
      </c>
    </row>
    <row r="26" customFormat="false" ht="23.85" hidden="false" customHeight="false" outlineLevel="0" collapsed="false">
      <c r="A26" s="2" t="s">
        <v>171</v>
      </c>
      <c r="B26" s="2" t="s">
        <v>161</v>
      </c>
      <c r="C26" s="2" t="s">
        <v>172</v>
      </c>
      <c r="D26" s="3" t="s">
        <v>173</v>
      </c>
      <c r="E26" s="2" t="s">
        <v>174</v>
      </c>
      <c r="F26" s="2" t="s">
        <v>46</v>
      </c>
      <c r="G26" s="3" t="s">
        <v>47</v>
      </c>
      <c r="H26" s="3" t="s">
        <v>54</v>
      </c>
      <c r="I26" s="3" t="s">
        <v>21</v>
      </c>
      <c r="J26" s="4" t="s">
        <v>22</v>
      </c>
      <c r="K26" s="7" t="s">
        <v>32</v>
      </c>
      <c r="L26" s="2" t="s">
        <v>175</v>
      </c>
      <c r="M26" s="2" t="s">
        <v>176</v>
      </c>
    </row>
    <row r="27" customFormat="false" ht="23.85" hidden="false" customHeight="false" outlineLevel="0" collapsed="false">
      <c r="A27" s="2" t="s">
        <v>177</v>
      </c>
      <c r="B27" s="2" t="s">
        <v>178</v>
      </c>
      <c r="C27" s="2" t="s">
        <v>179</v>
      </c>
      <c r="D27" s="3" t="s">
        <v>180</v>
      </c>
      <c r="E27" s="2" t="s">
        <v>181</v>
      </c>
      <c r="F27" s="2" t="s">
        <v>46</v>
      </c>
      <c r="G27" s="3" t="s">
        <v>47</v>
      </c>
      <c r="H27" s="3" t="s">
        <v>29</v>
      </c>
      <c r="I27" s="3" t="s">
        <v>21</v>
      </c>
      <c r="J27" s="4" t="s">
        <v>22</v>
      </c>
      <c r="K27" s="7" t="s">
        <v>32</v>
      </c>
      <c r="L27" s="2" t="s">
        <v>182</v>
      </c>
      <c r="M27" s="2" t="s">
        <v>183</v>
      </c>
    </row>
    <row r="28" customFormat="false" ht="23.85" hidden="false" customHeight="false" outlineLevel="0" collapsed="false">
      <c r="A28" s="2" t="s">
        <v>184</v>
      </c>
      <c r="B28" s="2" t="s">
        <v>161</v>
      </c>
      <c r="C28" s="2" t="s">
        <v>185</v>
      </c>
      <c r="D28" s="3" t="s">
        <v>173</v>
      </c>
      <c r="E28" s="2" t="s">
        <v>186</v>
      </c>
      <c r="F28" s="2" t="s">
        <v>46</v>
      </c>
      <c r="G28" s="3" t="s">
        <v>47</v>
      </c>
      <c r="H28" s="3" t="s">
        <v>187</v>
      </c>
      <c r="I28" s="3" t="s">
        <v>21</v>
      </c>
      <c r="J28" s="4" t="s">
        <v>22</v>
      </c>
      <c r="K28" s="7" t="s">
        <v>32</v>
      </c>
      <c r="L28" s="2" t="s">
        <v>188</v>
      </c>
      <c r="M28" s="2" t="s">
        <v>189</v>
      </c>
    </row>
    <row r="29" customFormat="false" ht="15" hidden="false" customHeight="false" outlineLevel="0" collapsed="false">
      <c r="A29" s="2" t="s">
        <v>190</v>
      </c>
      <c r="B29" s="2" t="s">
        <v>161</v>
      </c>
      <c r="C29" s="2" t="s">
        <v>191</v>
      </c>
      <c r="D29" s="3" t="s">
        <v>19</v>
      </c>
      <c r="E29" s="2" t="s">
        <v>192</v>
      </c>
      <c r="F29" s="2" t="s">
        <v>46</v>
      </c>
      <c r="G29" s="3" t="s">
        <v>47</v>
      </c>
      <c r="H29" s="3" t="s">
        <v>54</v>
      </c>
      <c r="I29" s="3" t="s">
        <v>21</v>
      </c>
      <c r="J29" s="9" t="s">
        <v>164</v>
      </c>
      <c r="K29" s="7" t="s">
        <v>32</v>
      </c>
      <c r="L29" s="2" t="s">
        <v>193</v>
      </c>
      <c r="M29" s="2" t="s">
        <v>194</v>
      </c>
    </row>
    <row r="30" customFormat="false" ht="15" hidden="false" customHeight="false" outlineLevel="0" collapsed="false">
      <c r="A30" s="2" t="s">
        <v>195</v>
      </c>
      <c r="B30" s="2" t="s">
        <v>161</v>
      </c>
      <c r="C30" s="2" t="s">
        <v>196</v>
      </c>
      <c r="D30" s="3" t="s">
        <v>16</v>
      </c>
      <c r="E30" s="2" t="s">
        <v>197</v>
      </c>
      <c r="F30" s="2" t="s">
        <v>46</v>
      </c>
      <c r="G30" s="3" t="s">
        <v>47</v>
      </c>
      <c r="H30" s="3" t="s">
        <v>29</v>
      </c>
      <c r="I30" s="3" t="s">
        <v>21</v>
      </c>
      <c r="J30" s="9" t="s">
        <v>164</v>
      </c>
      <c r="K30" s="7" t="s">
        <v>32</v>
      </c>
      <c r="L30" s="2" t="s">
        <v>198</v>
      </c>
      <c r="M30" s="2" t="s">
        <v>199</v>
      </c>
    </row>
    <row r="31" customFormat="false" ht="23.85" hidden="false" customHeight="false" outlineLevel="0" collapsed="false">
      <c r="A31" s="2" t="s">
        <v>200</v>
      </c>
      <c r="B31" s="2" t="s">
        <v>161</v>
      </c>
      <c r="C31" s="2" t="s">
        <v>201</v>
      </c>
      <c r="D31" s="3" t="s">
        <v>16</v>
      </c>
      <c r="E31" s="2" t="s">
        <v>202</v>
      </c>
      <c r="F31" s="2" t="s">
        <v>46</v>
      </c>
      <c r="G31" s="3" t="s">
        <v>77</v>
      </c>
      <c r="H31" s="3" t="s">
        <v>54</v>
      </c>
      <c r="I31" s="3" t="s">
        <v>21</v>
      </c>
      <c r="J31" s="4" t="s">
        <v>22</v>
      </c>
      <c r="K31" s="7" t="s">
        <v>32</v>
      </c>
      <c r="L31" s="2" t="s">
        <v>203</v>
      </c>
      <c r="M31" s="2" t="s">
        <v>204</v>
      </c>
    </row>
    <row r="32" customFormat="false" ht="15" hidden="false" customHeight="false" outlineLevel="0" collapsed="false">
      <c r="A32" s="2" t="s">
        <v>205</v>
      </c>
      <c r="B32" s="2" t="s">
        <v>161</v>
      </c>
      <c r="C32" s="2" t="s">
        <v>196</v>
      </c>
      <c r="D32" s="3" t="s">
        <v>16</v>
      </c>
      <c r="E32" s="2" t="s">
        <v>197</v>
      </c>
      <c r="F32" s="2" t="s">
        <v>76</v>
      </c>
      <c r="G32" s="3" t="s">
        <v>47</v>
      </c>
      <c r="H32" s="3" t="s">
        <v>84</v>
      </c>
      <c r="I32" s="3" t="s">
        <v>21</v>
      </c>
      <c r="J32" s="4" t="s">
        <v>22</v>
      </c>
      <c r="K32" s="7" t="s">
        <v>32</v>
      </c>
      <c r="L32" s="2" t="s">
        <v>206</v>
      </c>
      <c r="M32" s="2" t="s">
        <v>207</v>
      </c>
    </row>
    <row r="33" customFormat="false" ht="15" hidden="false" customHeight="false" outlineLevel="0" collapsed="false">
      <c r="A33" s="2" t="s">
        <v>208</v>
      </c>
      <c r="B33" s="2" t="s">
        <v>161</v>
      </c>
      <c r="C33" s="2" t="s">
        <v>209</v>
      </c>
      <c r="D33" s="3" t="s">
        <v>180</v>
      </c>
      <c r="E33" s="2" t="s">
        <v>210</v>
      </c>
      <c r="F33" s="2" t="s">
        <v>76</v>
      </c>
      <c r="G33" s="3" t="s">
        <v>47</v>
      </c>
      <c r="H33" s="3" t="s">
        <v>63</v>
      </c>
      <c r="I33" s="3" t="s">
        <v>21</v>
      </c>
      <c r="J33" s="4" t="s">
        <v>22</v>
      </c>
      <c r="K33" s="5" t="s">
        <v>23</v>
      </c>
      <c r="L33" s="2" t="s">
        <v>211</v>
      </c>
      <c r="M33" s="2" t="s">
        <v>212</v>
      </c>
    </row>
    <row r="34" customFormat="false" ht="35.05" hidden="false" customHeight="false" outlineLevel="0" collapsed="false">
      <c r="A34" s="2" t="s">
        <v>213</v>
      </c>
      <c r="B34" s="2" t="s">
        <v>178</v>
      </c>
      <c r="C34" s="2" t="s">
        <v>214</v>
      </c>
      <c r="D34" s="3" t="s">
        <v>180</v>
      </c>
      <c r="E34" s="2" t="s">
        <v>215</v>
      </c>
      <c r="F34" s="2" t="s">
        <v>76</v>
      </c>
      <c r="G34" s="3" t="s">
        <v>77</v>
      </c>
      <c r="H34" s="3" t="s">
        <v>187</v>
      </c>
      <c r="I34" s="3" t="s">
        <v>21</v>
      </c>
      <c r="J34" s="4" t="s">
        <v>22</v>
      </c>
      <c r="K34" s="7" t="s">
        <v>32</v>
      </c>
      <c r="L34" s="2" t="s">
        <v>216</v>
      </c>
      <c r="M34" s="2" t="s">
        <v>217</v>
      </c>
    </row>
    <row r="35" customFormat="false" ht="35.05" hidden="false" customHeight="false" outlineLevel="0" collapsed="false">
      <c r="A35" s="2" t="s">
        <v>218</v>
      </c>
      <c r="B35" s="2" t="s">
        <v>178</v>
      </c>
      <c r="C35" s="2" t="s">
        <v>214</v>
      </c>
      <c r="D35" s="3" t="s">
        <v>44</v>
      </c>
      <c r="E35" s="2" t="s">
        <v>219</v>
      </c>
      <c r="F35" s="2" t="s">
        <v>220</v>
      </c>
      <c r="G35" s="3" t="s">
        <v>77</v>
      </c>
      <c r="H35" s="3" t="s">
        <v>63</v>
      </c>
      <c r="I35" s="3" t="s">
        <v>21</v>
      </c>
      <c r="J35" s="4" t="s">
        <v>22</v>
      </c>
      <c r="K35" s="7" t="s">
        <v>32</v>
      </c>
      <c r="L35" s="2" t="s">
        <v>221</v>
      </c>
      <c r="M35" s="2" t="s">
        <v>222</v>
      </c>
    </row>
    <row r="36" customFormat="false" ht="15" hidden="false" customHeight="false" outlineLevel="0" collapsed="false">
      <c r="A36" s="2" t="s">
        <v>223</v>
      </c>
      <c r="B36" s="2" t="s">
        <v>178</v>
      </c>
      <c r="C36" s="2" t="s">
        <v>224</v>
      </c>
      <c r="D36" s="3" t="s">
        <v>225</v>
      </c>
      <c r="E36" s="2" t="s">
        <v>224</v>
      </c>
      <c r="F36" s="2" t="s">
        <v>76</v>
      </c>
      <c r="G36" s="3" t="s">
        <v>77</v>
      </c>
      <c r="H36" s="3" t="s">
        <v>187</v>
      </c>
      <c r="I36" s="3" t="s">
        <v>21</v>
      </c>
      <c r="J36" s="4" t="s">
        <v>22</v>
      </c>
      <c r="K36" s="7" t="s">
        <v>32</v>
      </c>
      <c r="L36" s="2" t="s">
        <v>226</v>
      </c>
      <c r="M36" s="2" t="s">
        <v>227</v>
      </c>
    </row>
    <row r="37" customFormat="false" ht="15" hidden="false" customHeight="false" outlineLevel="0" collapsed="false">
      <c r="A37" s="2" t="s">
        <v>228</v>
      </c>
      <c r="B37" s="2" t="s">
        <v>178</v>
      </c>
      <c r="C37" s="2" t="s">
        <v>229</v>
      </c>
      <c r="D37" s="3" t="s">
        <v>52</v>
      </c>
      <c r="E37" s="2" t="s">
        <v>229</v>
      </c>
      <c r="F37" s="2" t="s">
        <v>76</v>
      </c>
      <c r="G37" s="3" t="s">
        <v>77</v>
      </c>
      <c r="H37" s="3" t="s">
        <v>84</v>
      </c>
      <c r="I37" s="3" t="s">
        <v>21</v>
      </c>
      <c r="J37" s="4" t="s">
        <v>22</v>
      </c>
      <c r="K37" s="7" t="s">
        <v>32</v>
      </c>
      <c r="L37" s="2" t="s">
        <v>230</v>
      </c>
      <c r="M37" s="2" t="s">
        <v>231</v>
      </c>
    </row>
    <row r="38" customFormat="false" ht="23.85" hidden="false" customHeight="false" outlineLevel="0" collapsed="false">
      <c r="A38" s="2" t="s">
        <v>232</v>
      </c>
      <c r="B38" s="2" t="s">
        <v>178</v>
      </c>
      <c r="C38" s="2" t="s">
        <v>233</v>
      </c>
      <c r="D38" s="3" t="s">
        <v>225</v>
      </c>
      <c r="E38" s="2" t="s">
        <v>234</v>
      </c>
      <c r="F38" s="2" t="s">
        <v>220</v>
      </c>
      <c r="G38" s="3" t="s">
        <v>77</v>
      </c>
      <c r="H38" s="3" t="s">
        <v>187</v>
      </c>
      <c r="I38" s="3" t="s">
        <v>21</v>
      </c>
      <c r="J38" s="4" t="s">
        <v>22</v>
      </c>
      <c r="K38" s="10" t="s">
        <v>235</v>
      </c>
      <c r="L38" s="2" t="s">
        <v>236</v>
      </c>
      <c r="M38" s="2" t="s">
        <v>237</v>
      </c>
    </row>
    <row r="39" customFormat="false" ht="15" hidden="false" customHeight="false" outlineLevel="0" collapsed="false">
      <c r="A39" s="2" t="s">
        <v>238</v>
      </c>
      <c r="B39" s="2" t="s">
        <v>178</v>
      </c>
      <c r="C39" s="2" t="s">
        <v>233</v>
      </c>
      <c r="D39" s="3" t="s">
        <v>19</v>
      </c>
      <c r="E39" s="2" t="s">
        <v>234</v>
      </c>
      <c r="F39" s="2" t="s">
        <v>46</v>
      </c>
      <c r="G39" s="3" t="s">
        <v>47</v>
      </c>
      <c r="H39" s="3" t="s">
        <v>29</v>
      </c>
      <c r="I39" s="3" t="s">
        <v>21</v>
      </c>
      <c r="J39" s="9" t="s">
        <v>164</v>
      </c>
      <c r="K39" s="10" t="s">
        <v>235</v>
      </c>
      <c r="L39" s="2" t="s">
        <v>239</v>
      </c>
      <c r="M39" s="2" t="s">
        <v>240</v>
      </c>
    </row>
    <row r="40" customFormat="false" ht="23.85" hidden="false" customHeight="false" outlineLevel="0" collapsed="false">
      <c r="A40" s="2" t="s">
        <v>241</v>
      </c>
      <c r="B40" s="2" t="s">
        <v>242</v>
      </c>
      <c r="C40" s="2" t="s">
        <v>243</v>
      </c>
      <c r="D40" s="3" t="s">
        <v>180</v>
      </c>
      <c r="E40" s="2" t="s">
        <v>244</v>
      </c>
      <c r="F40" s="2" t="s">
        <v>46</v>
      </c>
      <c r="G40" s="3" t="s">
        <v>47</v>
      </c>
      <c r="H40" s="3" t="s">
        <v>84</v>
      </c>
      <c r="I40" s="3" t="s">
        <v>21</v>
      </c>
      <c r="J40" s="4" t="s">
        <v>22</v>
      </c>
      <c r="K40" s="10" t="s">
        <v>235</v>
      </c>
      <c r="L40" s="2" t="s">
        <v>245</v>
      </c>
      <c r="M40" s="2" t="s">
        <v>246</v>
      </c>
    </row>
    <row r="41" customFormat="false" ht="23.85" hidden="false" customHeight="false" outlineLevel="0" collapsed="false">
      <c r="A41" s="2" t="s">
        <v>247</v>
      </c>
      <c r="B41" s="2" t="s">
        <v>178</v>
      </c>
      <c r="C41" s="2" t="s">
        <v>248</v>
      </c>
      <c r="D41" s="3" t="s">
        <v>180</v>
      </c>
      <c r="E41" s="2" t="s">
        <v>249</v>
      </c>
      <c r="F41" s="2" t="s">
        <v>46</v>
      </c>
      <c r="G41" s="3" t="s">
        <v>77</v>
      </c>
      <c r="H41" s="3" t="s">
        <v>84</v>
      </c>
      <c r="I41" s="3" t="s">
        <v>21</v>
      </c>
      <c r="J41" s="4" t="s">
        <v>22</v>
      </c>
      <c r="K41" s="10" t="s">
        <v>235</v>
      </c>
      <c r="L41" s="2" t="s">
        <v>250</v>
      </c>
      <c r="M41" s="2" t="s">
        <v>251</v>
      </c>
    </row>
    <row r="42" customFormat="false" ht="23.85" hidden="false" customHeight="false" outlineLevel="0" collapsed="false">
      <c r="A42" s="2" t="s">
        <v>252</v>
      </c>
      <c r="B42" s="2" t="s">
        <v>105</v>
      </c>
      <c r="C42" s="2" t="s">
        <v>253</v>
      </c>
      <c r="D42" s="3" t="s">
        <v>225</v>
      </c>
      <c r="E42" s="2" t="s">
        <v>254</v>
      </c>
      <c r="F42" s="2" t="s">
        <v>220</v>
      </c>
      <c r="G42" s="3" t="s">
        <v>77</v>
      </c>
      <c r="H42" s="3" t="s">
        <v>63</v>
      </c>
      <c r="I42" s="3" t="s">
        <v>21</v>
      </c>
      <c r="J42" s="4" t="s">
        <v>22</v>
      </c>
      <c r="K42" s="7" t="s">
        <v>32</v>
      </c>
      <c r="L42" s="2" t="s">
        <v>255</v>
      </c>
      <c r="M42" s="2" t="s">
        <v>256</v>
      </c>
    </row>
    <row r="43" customFormat="false" ht="23.85" hidden="false" customHeight="false" outlineLevel="0" collapsed="false">
      <c r="A43" s="2" t="s">
        <v>257</v>
      </c>
      <c r="B43" s="2" t="s">
        <v>105</v>
      </c>
      <c r="C43" s="2" t="s">
        <v>253</v>
      </c>
      <c r="D43" s="3" t="s">
        <v>225</v>
      </c>
      <c r="E43" s="2" t="s">
        <v>258</v>
      </c>
      <c r="F43" s="2" t="s">
        <v>220</v>
      </c>
      <c r="G43" s="3" t="s">
        <v>108</v>
      </c>
      <c r="H43" s="3" t="s">
        <v>63</v>
      </c>
      <c r="I43" s="3" t="s">
        <v>21</v>
      </c>
      <c r="J43" s="4" t="s">
        <v>22</v>
      </c>
      <c r="K43" s="7" t="s">
        <v>32</v>
      </c>
      <c r="L43" s="2" t="s">
        <v>259</v>
      </c>
      <c r="M43" s="2" t="s">
        <v>256</v>
      </c>
    </row>
    <row r="44" customFormat="false" ht="15" hidden="false" customHeight="false" outlineLevel="0" collapsed="false">
      <c r="A44" s="2" t="s">
        <v>260</v>
      </c>
      <c r="B44" s="2" t="s">
        <v>105</v>
      </c>
      <c r="C44" s="2" t="s">
        <v>261</v>
      </c>
      <c r="D44" s="3" t="s">
        <v>19</v>
      </c>
      <c r="E44" s="2" t="s">
        <v>107</v>
      </c>
      <c r="F44" s="2" t="s">
        <v>46</v>
      </c>
      <c r="G44" s="3" t="s">
        <v>47</v>
      </c>
      <c r="H44" s="3" t="s">
        <v>54</v>
      </c>
      <c r="I44" s="3" t="s">
        <v>21</v>
      </c>
      <c r="J44" s="9" t="s">
        <v>164</v>
      </c>
      <c r="K44" s="7" t="s">
        <v>32</v>
      </c>
      <c r="L44" s="2" t="s">
        <v>262</v>
      </c>
      <c r="M44" s="2" t="s">
        <v>263</v>
      </c>
    </row>
    <row r="45" customFormat="false" ht="15" hidden="false" customHeight="false" outlineLevel="0" collapsed="false">
      <c r="A45" s="2" t="s">
        <v>264</v>
      </c>
      <c r="B45" s="2" t="s">
        <v>18</v>
      </c>
      <c r="C45" s="2" t="s">
        <v>265</v>
      </c>
      <c r="D45" s="3" t="s">
        <v>266</v>
      </c>
      <c r="E45" s="2" t="s">
        <v>267</v>
      </c>
      <c r="F45" s="2" t="s">
        <v>18</v>
      </c>
      <c r="G45" s="3" t="s">
        <v>108</v>
      </c>
      <c r="H45" s="3" t="s">
        <v>63</v>
      </c>
      <c r="I45" s="3" t="s">
        <v>30</v>
      </c>
      <c r="J45" s="4" t="s">
        <v>22</v>
      </c>
      <c r="K45" s="8" t="s">
        <v>38</v>
      </c>
      <c r="L45" s="2" t="s">
        <v>268</v>
      </c>
      <c r="M45" s="2" t="s">
        <v>269</v>
      </c>
    </row>
    <row r="46" customFormat="false" ht="23.85" hidden="false" customHeight="false" outlineLevel="0" collapsed="false">
      <c r="A46" s="2" t="s">
        <v>270</v>
      </c>
      <c r="B46" s="2" t="s">
        <v>271</v>
      </c>
      <c r="C46" s="2" t="s">
        <v>272</v>
      </c>
      <c r="D46" s="3" t="s">
        <v>273</v>
      </c>
      <c r="E46" s="2" t="s">
        <v>274</v>
      </c>
      <c r="F46" s="2" t="s">
        <v>83</v>
      </c>
      <c r="G46" s="3" t="s">
        <v>108</v>
      </c>
      <c r="H46" s="3" t="s">
        <v>63</v>
      </c>
      <c r="I46" s="3" t="s">
        <v>21</v>
      </c>
      <c r="J46" s="4" t="s">
        <v>22</v>
      </c>
      <c r="K46" s="5" t="s">
        <v>23</v>
      </c>
      <c r="L46" s="2" t="s">
        <v>275</v>
      </c>
      <c r="M46" s="2" t="s">
        <v>276</v>
      </c>
    </row>
    <row r="47" customFormat="false" ht="23.85" hidden="false" customHeight="false" outlineLevel="0" collapsed="false">
      <c r="A47" s="2" t="s">
        <v>277</v>
      </c>
      <c r="B47" s="2" t="s">
        <v>271</v>
      </c>
      <c r="C47" s="2" t="s">
        <v>278</v>
      </c>
      <c r="D47" s="3" t="s">
        <v>16</v>
      </c>
      <c r="E47" s="2" t="s">
        <v>279</v>
      </c>
      <c r="F47" s="2" t="s">
        <v>76</v>
      </c>
      <c r="G47" s="3" t="s">
        <v>77</v>
      </c>
      <c r="H47" s="3" t="s">
        <v>54</v>
      </c>
      <c r="I47" s="3" t="s">
        <v>21</v>
      </c>
      <c r="J47" s="4" t="s">
        <v>22</v>
      </c>
      <c r="K47" s="7" t="s">
        <v>32</v>
      </c>
      <c r="L47" s="2" t="s">
        <v>280</v>
      </c>
      <c r="M47" s="2" t="s">
        <v>281</v>
      </c>
    </row>
    <row r="48" customFormat="false" ht="23.85" hidden="false" customHeight="false" outlineLevel="0" collapsed="false">
      <c r="A48" s="2" t="s">
        <v>282</v>
      </c>
      <c r="B48" s="2" t="s">
        <v>271</v>
      </c>
      <c r="C48" s="2" t="s">
        <v>283</v>
      </c>
      <c r="D48" s="3" t="s">
        <v>284</v>
      </c>
      <c r="E48" s="2" t="s">
        <v>274</v>
      </c>
      <c r="F48" s="2" t="s">
        <v>76</v>
      </c>
      <c r="G48" s="3" t="s">
        <v>77</v>
      </c>
      <c r="H48" s="3" t="s">
        <v>20</v>
      </c>
      <c r="I48" s="3" t="s">
        <v>21</v>
      </c>
      <c r="J48" s="6" t="s">
        <v>89</v>
      </c>
      <c r="K48" s="5" t="s">
        <v>23</v>
      </c>
      <c r="L48" s="2" t="s">
        <v>285</v>
      </c>
      <c r="M48" s="2" t="s">
        <v>286</v>
      </c>
    </row>
    <row r="49" customFormat="false" ht="15" hidden="false" customHeight="false" outlineLevel="0" collapsed="false">
      <c r="A49" s="2" t="s">
        <v>287</v>
      </c>
      <c r="B49" s="2" t="s">
        <v>271</v>
      </c>
      <c r="C49" s="2" t="s">
        <v>288</v>
      </c>
      <c r="D49" s="3" t="s">
        <v>266</v>
      </c>
      <c r="E49" s="2" t="s">
        <v>274</v>
      </c>
      <c r="F49" s="2" t="s">
        <v>88</v>
      </c>
      <c r="G49" s="3" t="s">
        <v>47</v>
      </c>
      <c r="H49" s="3" t="s">
        <v>54</v>
      </c>
      <c r="I49" s="3" t="s">
        <v>21</v>
      </c>
      <c r="J49" s="4" t="s">
        <v>22</v>
      </c>
      <c r="K49" s="7" t="s">
        <v>32</v>
      </c>
      <c r="L49" s="2" t="s">
        <v>289</v>
      </c>
      <c r="M49" s="2" t="s">
        <v>290</v>
      </c>
    </row>
    <row r="50" customFormat="false" ht="15" hidden="false" customHeight="false" outlineLevel="0" collapsed="false">
      <c r="A50" s="2" t="s">
        <v>291</v>
      </c>
      <c r="B50" s="2" t="s">
        <v>271</v>
      </c>
      <c r="C50" s="2" t="s">
        <v>292</v>
      </c>
      <c r="D50" s="3" t="s">
        <v>293</v>
      </c>
      <c r="E50" s="2" t="s">
        <v>274</v>
      </c>
      <c r="F50" s="2" t="s">
        <v>95</v>
      </c>
      <c r="G50" s="3" t="s">
        <v>77</v>
      </c>
      <c r="H50" s="3" t="s">
        <v>144</v>
      </c>
      <c r="I50" s="3" t="s">
        <v>30</v>
      </c>
      <c r="J50" s="4" t="s">
        <v>22</v>
      </c>
      <c r="K50" s="8" t="s">
        <v>38</v>
      </c>
      <c r="L50" s="2" t="s">
        <v>294</v>
      </c>
      <c r="M50" s="2" t="s">
        <v>146</v>
      </c>
    </row>
    <row r="51" customFormat="false" ht="23.85" hidden="false" customHeight="false" outlineLevel="0" collapsed="false">
      <c r="A51" s="2" t="s">
        <v>295</v>
      </c>
      <c r="B51" s="2" t="s">
        <v>271</v>
      </c>
      <c r="C51" s="2" t="s">
        <v>267</v>
      </c>
      <c r="D51" s="3" t="s">
        <v>16</v>
      </c>
      <c r="E51" s="2" t="s">
        <v>296</v>
      </c>
      <c r="F51" s="2" t="s">
        <v>83</v>
      </c>
      <c r="G51" s="3" t="s">
        <v>108</v>
      </c>
      <c r="H51" s="3" t="s">
        <v>63</v>
      </c>
      <c r="I51" s="3" t="s">
        <v>21</v>
      </c>
      <c r="J51" s="4" t="s">
        <v>22</v>
      </c>
      <c r="K51" s="7" t="s">
        <v>32</v>
      </c>
      <c r="L51" s="2" t="s">
        <v>280</v>
      </c>
      <c r="M51" s="2" t="s">
        <v>297</v>
      </c>
    </row>
    <row r="52" customFormat="false" ht="15" hidden="false" customHeight="false" outlineLevel="0" collapsed="false">
      <c r="A52" s="2" t="s">
        <v>298</v>
      </c>
      <c r="B52" s="2" t="s">
        <v>121</v>
      </c>
      <c r="C52" s="2" t="s">
        <v>299</v>
      </c>
      <c r="D52" s="3" t="s">
        <v>44</v>
      </c>
      <c r="E52" s="2" t="s">
        <v>300</v>
      </c>
      <c r="F52" s="2" t="s">
        <v>83</v>
      </c>
      <c r="G52" s="3" t="s">
        <v>108</v>
      </c>
      <c r="H52" s="3" t="s">
        <v>63</v>
      </c>
      <c r="I52" s="3" t="s">
        <v>21</v>
      </c>
      <c r="J52" s="4" t="s">
        <v>22</v>
      </c>
      <c r="K52" s="5" t="s">
        <v>23</v>
      </c>
      <c r="L52" s="2" t="s">
        <v>301</v>
      </c>
      <c r="M52" s="2" t="s">
        <v>302</v>
      </c>
    </row>
    <row r="53" customFormat="false" ht="23.85" hidden="false" customHeight="false" outlineLevel="0" collapsed="false">
      <c r="A53" s="2" t="s">
        <v>303</v>
      </c>
      <c r="B53" s="2" t="s">
        <v>121</v>
      </c>
      <c r="C53" s="2" t="s">
        <v>304</v>
      </c>
      <c r="D53" s="3" t="s">
        <v>305</v>
      </c>
      <c r="E53" s="2" t="s">
        <v>300</v>
      </c>
      <c r="F53" s="2" t="s">
        <v>18</v>
      </c>
      <c r="G53" s="3" t="s">
        <v>108</v>
      </c>
      <c r="H53" s="3" t="s">
        <v>63</v>
      </c>
      <c r="I53" s="3" t="s">
        <v>30</v>
      </c>
      <c r="J53" s="4" t="s">
        <v>22</v>
      </c>
      <c r="K53" s="8" t="s">
        <v>38</v>
      </c>
      <c r="L53" s="2" t="s">
        <v>306</v>
      </c>
      <c r="M53" s="2" t="s">
        <v>307</v>
      </c>
    </row>
    <row r="54" customFormat="false" ht="15" hidden="false" customHeight="false" outlineLevel="0" collapsed="false">
      <c r="A54" s="2" t="s">
        <v>308</v>
      </c>
      <c r="B54" s="2" t="s">
        <v>309</v>
      </c>
      <c r="C54" s="2" t="s">
        <v>310</v>
      </c>
      <c r="D54" s="3" t="s">
        <v>123</v>
      </c>
      <c r="E54" s="2" t="s">
        <v>300</v>
      </c>
      <c r="F54" s="2" t="s">
        <v>19</v>
      </c>
      <c r="G54" s="3" t="s">
        <v>19</v>
      </c>
      <c r="H54" s="3" t="s">
        <v>19</v>
      </c>
      <c r="I54" s="3" t="s">
        <v>311</v>
      </c>
      <c r="J54" s="11" t="s">
        <v>309</v>
      </c>
      <c r="K54" s="8" t="s">
        <v>38</v>
      </c>
      <c r="L54" s="2" t="s">
        <v>312</v>
      </c>
      <c r="M54" s="2" t="s">
        <v>313</v>
      </c>
    </row>
    <row r="55" customFormat="false" ht="23.85" hidden="false" customHeight="false" outlineLevel="0" collapsed="false">
      <c r="A55" s="2" t="s">
        <v>314</v>
      </c>
      <c r="B55" s="2" t="s">
        <v>148</v>
      </c>
      <c r="C55" s="2" t="s">
        <v>315</v>
      </c>
      <c r="D55" s="3" t="s">
        <v>62</v>
      </c>
      <c r="E55" s="2" t="s">
        <v>316</v>
      </c>
      <c r="F55" s="2" t="s">
        <v>317</v>
      </c>
      <c r="G55" s="3" t="s">
        <v>47</v>
      </c>
      <c r="H55" s="3" t="s">
        <v>63</v>
      </c>
      <c r="I55" s="3" t="s">
        <v>30</v>
      </c>
      <c r="J55" s="4" t="s">
        <v>22</v>
      </c>
      <c r="K55" s="8" t="s">
        <v>38</v>
      </c>
      <c r="L55" s="2" t="s">
        <v>318</v>
      </c>
      <c r="M55" s="2" t="s">
        <v>319</v>
      </c>
    </row>
    <row r="56" customFormat="false" ht="15" hidden="false" customHeight="false" outlineLevel="0" collapsed="false">
      <c r="A56" s="2" t="s">
        <v>320</v>
      </c>
      <c r="B56" s="2" t="s">
        <v>309</v>
      </c>
      <c r="C56" s="2" t="s">
        <v>321</v>
      </c>
      <c r="D56" s="3" t="s">
        <v>16</v>
      </c>
      <c r="E56" s="2" t="s">
        <v>322</v>
      </c>
      <c r="F56" s="2" t="s">
        <v>19</v>
      </c>
      <c r="G56" s="3" t="s">
        <v>19</v>
      </c>
      <c r="H56" s="3" t="s">
        <v>19</v>
      </c>
      <c r="I56" s="3" t="s">
        <v>311</v>
      </c>
      <c r="J56" s="11" t="s">
        <v>309</v>
      </c>
      <c r="K56" s="8" t="s">
        <v>38</v>
      </c>
      <c r="L56" s="2" t="s">
        <v>323</v>
      </c>
      <c r="M56" s="2" t="s">
        <v>324</v>
      </c>
    </row>
    <row r="57" customFormat="false" ht="23.85" hidden="false" customHeight="false" outlineLevel="0" collapsed="false">
      <c r="A57" s="2" t="s">
        <v>325</v>
      </c>
      <c r="B57" s="2" t="s">
        <v>148</v>
      </c>
      <c r="C57" s="2" t="s">
        <v>326</v>
      </c>
      <c r="D57" s="3" t="s">
        <v>62</v>
      </c>
      <c r="E57" s="2" t="s">
        <v>327</v>
      </c>
      <c r="F57" s="2" t="s">
        <v>317</v>
      </c>
      <c r="G57" s="3" t="s">
        <v>47</v>
      </c>
      <c r="H57" s="3" t="s">
        <v>63</v>
      </c>
      <c r="I57" s="3" t="s">
        <v>30</v>
      </c>
      <c r="J57" s="4" t="s">
        <v>22</v>
      </c>
      <c r="K57" s="8" t="s">
        <v>38</v>
      </c>
      <c r="L57" s="2" t="s">
        <v>328</v>
      </c>
      <c r="M57" s="2" t="s">
        <v>329</v>
      </c>
    </row>
    <row r="58" customFormat="false" ht="23.85" hidden="false" customHeight="false" outlineLevel="0" collapsed="false">
      <c r="A58" s="2" t="s">
        <v>330</v>
      </c>
      <c r="B58" s="2" t="s">
        <v>331</v>
      </c>
      <c r="C58" s="2" t="s">
        <v>332</v>
      </c>
      <c r="D58" s="3" t="s">
        <v>333</v>
      </c>
      <c r="E58" s="2" t="s">
        <v>334</v>
      </c>
      <c r="F58" s="2" t="s">
        <v>83</v>
      </c>
      <c r="G58" s="3" t="s">
        <v>108</v>
      </c>
      <c r="H58" s="3" t="s">
        <v>63</v>
      </c>
      <c r="I58" s="3" t="s">
        <v>30</v>
      </c>
      <c r="J58" s="4" t="s">
        <v>22</v>
      </c>
      <c r="K58" s="8" t="s">
        <v>38</v>
      </c>
      <c r="L58" s="2" t="s">
        <v>335</v>
      </c>
      <c r="M58" s="2" t="s">
        <v>336</v>
      </c>
    </row>
    <row r="59" customFormat="false" ht="23.85" hidden="false" customHeight="false" outlineLevel="0" collapsed="false">
      <c r="A59" s="2" t="s">
        <v>337</v>
      </c>
      <c r="B59" s="2" t="s">
        <v>148</v>
      </c>
      <c r="C59" s="2" t="s">
        <v>315</v>
      </c>
      <c r="D59" s="3" t="s">
        <v>180</v>
      </c>
      <c r="E59" s="2" t="s">
        <v>338</v>
      </c>
      <c r="F59" s="2" t="s">
        <v>339</v>
      </c>
      <c r="G59" s="3" t="s">
        <v>47</v>
      </c>
      <c r="H59" s="3" t="s">
        <v>187</v>
      </c>
      <c r="I59" s="3" t="s">
        <v>30</v>
      </c>
      <c r="J59" s="4" t="s">
        <v>22</v>
      </c>
      <c r="K59" s="8" t="s">
        <v>38</v>
      </c>
      <c r="L59" s="2" t="s">
        <v>340</v>
      </c>
      <c r="M59" s="2" t="s">
        <v>341</v>
      </c>
    </row>
    <row r="60" customFormat="false" ht="15" hidden="false" customHeight="false" outlineLevel="0" collapsed="false">
      <c r="A60" s="2" t="s">
        <v>342</v>
      </c>
      <c r="B60" s="2" t="s">
        <v>134</v>
      </c>
      <c r="C60" s="2" t="s">
        <v>343</v>
      </c>
      <c r="D60" s="3" t="s">
        <v>16</v>
      </c>
      <c r="E60" s="2" t="s">
        <v>344</v>
      </c>
      <c r="F60" s="2" t="s">
        <v>345</v>
      </c>
      <c r="G60" s="3" t="s">
        <v>47</v>
      </c>
      <c r="H60" s="3" t="s">
        <v>63</v>
      </c>
      <c r="I60" s="3" t="s">
        <v>30</v>
      </c>
      <c r="J60" s="4" t="s">
        <v>22</v>
      </c>
      <c r="K60" s="8" t="s">
        <v>38</v>
      </c>
      <c r="L60" s="2" t="s">
        <v>39</v>
      </c>
      <c r="M60" s="2" t="s">
        <v>40</v>
      </c>
    </row>
    <row r="61" customFormat="false" ht="23.85" hidden="false" customHeight="false" outlineLevel="0" collapsed="false">
      <c r="A61" s="2" t="s">
        <v>346</v>
      </c>
      <c r="B61" s="2" t="s">
        <v>347</v>
      </c>
      <c r="C61" s="2" t="s">
        <v>348</v>
      </c>
      <c r="D61" s="3" t="s">
        <v>16</v>
      </c>
      <c r="E61" s="2" t="s">
        <v>349</v>
      </c>
      <c r="F61" s="2" t="s">
        <v>46</v>
      </c>
      <c r="G61" s="3" t="s">
        <v>77</v>
      </c>
      <c r="H61" s="3" t="s">
        <v>350</v>
      </c>
      <c r="I61" s="3" t="s">
        <v>21</v>
      </c>
      <c r="J61" s="4" t="s">
        <v>22</v>
      </c>
      <c r="K61" s="10" t="s">
        <v>235</v>
      </c>
      <c r="L61" s="2" t="s">
        <v>351</v>
      </c>
      <c r="M61" s="2" t="s">
        <v>352</v>
      </c>
    </row>
    <row r="62" customFormat="false" ht="23.85" hidden="false" customHeight="false" outlineLevel="0" collapsed="false">
      <c r="A62" s="2" t="s">
        <v>353</v>
      </c>
      <c r="B62" s="2" t="s">
        <v>347</v>
      </c>
      <c r="C62" s="2" t="s">
        <v>354</v>
      </c>
      <c r="D62" s="3" t="s">
        <v>16</v>
      </c>
      <c r="E62" s="2" t="s">
        <v>354</v>
      </c>
      <c r="F62" s="2" t="s">
        <v>46</v>
      </c>
      <c r="G62" s="3" t="s">
        <v>77</v>
      </c>
      <c r="H62" s="3" t="s">
        <v>350</v>
      </c>
      <c r="I62" s="3" t="s">
        <v>21</v>
      </c>
      <c r="J62" s="4" t="s">
        <v>22</v>
      </c>
      <c r="K62" s="10" t="s">
        <v>235</v>
      </c>
      <c r="L62" s="2" t="s">
        <v>355</v>
      </c>
      <c r="M62" s="2" t="s">
        <v>356</v>
      </c>
    </row>
    <row r="63" customFormat="false" ht="23.85" hidden="false" customHeight="false" outlineLevel="0" collapsed="false">
      <c r="A63" s="2" t="s">
        <v>357</v>
      </c>
      <c r="B63" s="2" t="s">
        <v>161</v>
      </c>
      <c r="C63" s="2" t="s">
        <v>358</v>
      </c>
      <c r="D63" s="3" t="s">
        <v>180</v>
      </c>
      <c r="E63" s="2" t="s">
        <v>359</v>
      </c>
      <c r="F63" s="2" t="s">
        <v>46</v>
      </c>
      <c r="G63" s="3" t="s">
        <v>47</v>
      </c>
      <c r="H63" s="3" t="s">
        <v>360</v>
      </c>
      <c r="I63" s="3" t="s">
        <v>30</v>
      </c>
      <c r="J63" s="4" t="s">
        <v>22</v>
      </c>
      <c r="K63" s="10" t="s">
        <v>235</v>
      </c>
      <c r="L63" s="2" t="s">
        <v>361</v>
      </c>
      <c r="M63" s="2" t="s">
        <v>362</v>
      </c>
    </row>
    <row r="64" customFormat="false" ht="23.85" hidden="false" customHeight="false" outlineLevel="0" collapsed="false">
      <c r="A64" s="2" t="s">
        <v>363</v>
      </c>
      <c r="B64" s="2" t="s">
        <v>331</v>
      </c>
      <c r="C64" s="2" t="s">
        <v>364</v>
      </c>
      <c r="D64" s="3" t="s">
        <v>16</v>
      </c>
      <c r="E64" s="2" t="s">
        <v>365</v>
      </c>
      <c r="F64" s="2" t="s">
        <v>46</v>
      </c>
      <c r="G64" s="3" t="s">
        <v>366</v>
      </c>
      <c r="H64" s="3" t="s">
        <v>144</v>
      </c>
      <c r="I64" s="3" t="s">
        <v>21</v>
      </c>
      <c r="J64" s="4" t="s">
        <v>22</v>
      </c>
      <c r="K64" s="7" t="s">
        <v>32</v>
      </c>
      <c r="L64" s="2" t="s">
        <v>367</v>
      </c>
      <c r="M64" s="2" t="s">
        <v>368</v>
      </c>
    </row>
    <row r="65" customFormat="false" ht="23.85" hidden="false" customHeight="false" outlineLevel="0" collapsed="false">
      <c r="A65" s="2" t="s">
        <v>369</v>
      </c>
      <c r="B65" s="2" t="s">
        <v>14</v>
      </c>
      <c r="C65" s="2" t="s">
        <v>370</v>
      </c>
      <c r="D65" s="3" t="s">
        <v>371</v>
      </c>
      <c r="E65" s="2" t="s">
        <v>372</v>
      </c>
      <c r="F65" s="2" t="s">
        <v>18</v>
      </c>
      <c r="G65" s="3" t="s">
        <v>19</v>
      </c>
      <c r="H65" s="3" t="s">
        <v>63</v>
      </c>
      <c r="I65" s="3" t="s">
        <v>21</v>
      </c>
      <c r="J65" s="4" t="s">
        <v>22</v>
      </c>
      <c r="K65" s="5" t="s">
        <v>23</v>
      </c>
      <c r="L65" s="2" t="s">
        <v>373</v>
      </c>
      <c r="M65" s="2" t="s">
        <v>374</v>
      </c>
    </row>
    <row r="66" customFormat="false" ht="23.85" hidden="false" customHeight="false" outlineLevel="0" collapsed="false">
      <c r="A66" s="2" t="s">
        <v>375</v>
      </c>
      <c r="B66" s="2" t="s">
        <v>161</v>
      </c>
      <c r="C66" s="2" t="s">
        <v>191</v>
      </c>
      <c r="D66" s="3" t="s">
        <v>16</v>
      </c>
      <c r="E66" s="2" t="s">
        <v>376</v>
      </c>
      <c r="F66" s="2" t="s">
        <v>46</v>
      </c>
      <c r="G66" s="3" t="s">
        <v>47</v>
      </c>
      <c r="H66" s="3" t="s">
        <v>187</v>
      </c>
      <c r="I66" s="3" t="s">
        <v>21</v>
      </c>
      <c r="J66" s="4" t="s">
        <v>22</v>
      </c>
      <c r="K66" s="7" t="s">
        <v>32</v>
      </c>
      <c r="L66" s="2" t="s">
        <v>377</v>
      </c>
      <c r="M66" s="2" t="s">
        <v>378</v>
      </c>
    </row>
    <row r="67" customFormat="false" ht="15" hidden="false" customHeight="false" outlineLevel="0" collapsed="false">
      <c r="A67" s="2" t="s">
        <v>379</v>
      </c>
      <c r="B67" s="2" t="s">
        <v>42</v>
      </c>
      <c r="C67" s="2" t="s">
        <v>43</v>
      </c>
      <c r="D67" s="3" t="s">
        <v>16</v>
      </c>
      <c r="E67" s="2" t="s">
        <v>45</v>
      </c>
      <c r="F67" s="2" t="s">
        <v>46</v>
      </c>
      <c r="G67" s="3" t="s">
        <v>47</v>
      </c>
      <c r="H67" s="3" t="s">
        <v>29</v>
      </c>
      <c r="I67" s="3" t="s">
        <v>21</v>
      </c>
      <c r="J67" s="4" t="s">
        <v>22</v>
      </c>
      <c r="K67" s="7" t="s">
        <v>32</v>
      </c>
      <c r="L67" s="2" t="s">
        <v>380</v>
      </c>
      <c r="M67" s="2" t="s">
        <v>381</v>
      </c>
    </row>
    <row r="68" customFormat="false" ht="15" hidden="false" customHeight="false" outlineLevel="0" collapsed="false">
      <c r="A68" s="2" t="s">
        <v>382</v>
      </c>
      <c r="B68" s="2" t="s">
        <v>18</v>
      </c>
      <c r="C68" s="2" t="s">
        <v>383</v>
      </c>
      <c r="D68" s="3" t="s">
        <v>180</v>
      </c>
      <c r="E68" s="2" t="s">
        <v>384</v>
      </c>
      <c r="F68" s="2" t="s">
        <v>18</v>
      </c>
      <c r="G68" s="3" t="s">
        <v>19</v>
      </c>
      <c r="H68" s="3" t="s">
        <v>63</v>
      </c>
      <c r="I68" s="3" t="s">
        <v>311</v>
      </c>
      <c r="J68" s="4" t="s">
        <v>22</v>
      </c>
      <c r="K68" s="8" t="s">
        <v>38</v>
      </c>
      <c r="L68" s="2" t="s">
        <v>385</v>
      </c>
      <c r="M68" s="2" t="s">
        <v>386</v>
      </c>
    </row>
  </sheetData>
  <autoFilter ref="A1:M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3"/>
    <col collapsed="false" customWidth="true" hidden="false" outlineLevel="0" max="4" min="4" style="0" width="14"/>
    <col collapsed="false" customWidth="true" hidden="false" outlineLevel="0" max="5" min="5" style="0" width="26"/>
  </cols>
  <sheetData>
    <row r="1" customFormat="false" ht="16.15" hidden="false" customHeight="false" outlineLevel="0" collapsed="false">
      <c r="A1" s="12" t="s">
        <v>387</v>
      </c>
    </row>
    <row r="2" customFormat="false" ht="15" hidden="false" customHeight="false" outlineLevel="0" collapsed="false">
      <c r="A2" s="13" t="s">
        <v>388</v>
      </c>
    </row>
    <row r="4" customFormat="false" ht="15" hidden="false" customHeight="false" outlineLevel="0" collapsed="false">
      <c r="A4" s="14" t="s">
        <v>389</v>
      </c>
      <c r="D4" s="14" t="s">
        <v>390</v>
      </c>
    </row>
    <row r="5" customFormat="false" ht="15" hidden="false" customHeight="false" outlineLevel="0" collapsed="false">
      <c r="A5" s="15" t="s">
        <v>22</v>
      </c>
      <c r="B5" s="15" t="n">
        <f aca="false">COUNTIF('Master Index'!$J$2:$J$68,"Exists")</f>
        <v>50</v>
      </c>
      <c r="D5" s="15" t="s">
        <v>23</v>
      </c>
      <c r="E5" s="15" t="n">
        <f aca="false">COUNTIF('Master Index'!$K$2:$K$68,"P0")</f>
        <v>13</v>
      </c>
    </row>
    <row r="6" customFormat="false" ht="15" hidden="false" customHeight="false" outlineLevel="0" collapsed="false">
      <c r="A6" s="15" t="s">
        <v>31</v>
      </c>
      <c r="B6" s="15" t="n">
        <f aca="false">COUNTIF('Master Index'!$J$2:$J$68,"Revise")</f>
        <v>6</v>
      </c>
      <c r="D6" s="15" t="s">
        <v>32</v>
      </c>
      <c r="E6" s="15" t="n">
        <f aca="false">COUNTIF('Master Index'!$K$2:$K$68,"P1")</f>
        <v>31</v>
      </c>
    </row>
    <row r="7" customFormat="false" ht="15" hidden="false" customHeight="false" outlineLevel="0" collapsed="false">
      <c r="A7" s="15" t="s">
        <v>164</v>
      </c>
      <c r="B7" s="15" t="n">
        <f aca="false">COUNTIF('Master Index'!$J$2:$J$68,"Expand")</f>
        <v>5</v>
      </c>
      <c r="D7" s="15" t="s">
        <v>235</v>
      </c>
      <c r="E7" s="15" t="n">
        <f aca="false">COUNTIF('Master Index'!$K$2:$K$68,"P2")</f>
        <v>7</v>
      </c>
    </row>
    <row r="8" customFormat="false" ht="15" hidden="false" customHeight="false" outlineLevel="0" collapsed="false">
      <c r="A8" s="15" t="s">
        <v>391</v>
      </c>
      <c r="B8" s="15" t="n">
        <f aca="false">COUNTIF('Master Index'!$J$2:$J$68,"Create")</f>
        <v>0</v>
      </c>
      <c r="D8" s="15" t="s">
        <v>38</v>
      </c>
      <c r="E8" s="15" t="n">
        <f aca="false">COUNTIF('Master Index'!$K$2:$K$68,"P3")</f>
        <v>16</v>
      </c>
    </row>
    <row r="9" customFormat="false" ht="15" hidden="false" customHeight="false" outlineLevel="0" collapsed="false">
      <c r="A9" s="15" t="s">
        <v>89</v>
      </c>
      <c r="B9" s="15" t="n">
        <f aca="false">COUNTIF('Master Index'!$J$2:$J$68,"Merge")</f>
        <v>4</v>
      </c>
    </row>
    <row r="10" customFormat="false" ht="15" hidden="false" customHeight="false" outlineLevel="0" collapsed="false">
      <c r="A10" s="15" t="s">
        <v>309</v>
      </c>
      <c r="B10" s="15" t="n">
        <f aca="false">COUNTIF('Master Index'!$J$2:$J$68,"Archive")</f>
        <v>2</v>
      </c>
    </row>
    <row r="11" customFormat="false" ht="15" hidden="false" customHeight="false" outlineLevel="0" collapsed="false">
      <c r="A11" s="14" t="s">
        <v>392</v>
      </c>
      <c r="B11" s="14" t="n">
        <f aca="false">COUNTA('Master Index'!$A$2:$A$68)</f>
        <v>67</v>
      </c>
    </row>
    <row r="14" customFormat="false" ht="15" hidden="false" customHeight="false" outlineLevel="0" collapsed="false">
      <c r="A14" s="14" t="s">
        <v>393</v>
      </c>
      <c r="D14" s="14" t="s">
        <v>394</v>
      </c>
    </row>
    <row r="15" customFormat="false" ht="15" hidden="false" customHeight="false" outlineLevel="0" collapsed="false">
      <c r="A15" s="15" t="s">
        <v>14</v>
      </c>
      <c r="B15" s="15" t="n">
        <f aca="false">COUNTIF('Master Index'!$B$2:$B$68,"Planning")</f>
        <v>4</v>
      </c>
      <c r="D15" s="16" t="s">
        <v>22</v>
      </c>
      <c r="E15" s="15" t="s">
        <v>395</v>
      </c>
    </row>
    <row r="16" customFormat="false" ht="15" hidden="false" customHeight="false" outlineLevel="0" collapsed="false">
      <c r="A16" s="15" t="s">
        <v>42</v>
      </c>
      <c r="B16" s="15" t="n">
        <f aca="false">COUNTIF('Master Index'!$B$2:$B$68,"Orientation")</f>
        <v>2</v>
      </c>
      <c r="D16" s="17" t="s">
        <v>31</v>
      </c>
      <c r="E16" s="15" t="s">
        <v>396</v>
      </c>
    </row>
    <row r="17" customFormat="false" ht="15" hidden="false" customHeight="false" outlineLevel="0" collapsed="false">
      <c r="A17" s="15" t="s">
        <v>58</v>
      </c>
      <c r="B17" s="15" t="n">
        <f aca="false">COUNTIF('Master Index'!$B$2:$B$68,"Evidence &amp; Reading")</f>
        <v>8</v>
      </c>
      <c r="D17" s="18" t="s">
        <v>164</v>
      </c>
      <c r="E17" s="15" t="s">
        <v>397</v>
      </c>
    </row>
    <row r="18" customFormat="false" ht="15" hidden="false" customHeight="false" outlineLevel="0" collapsed="false">
      <c r="A18" s="15" t="s">
        <v>121</v>
      </c>
      <c r="B18" s="15" t="n">
        <f aca="false">COUNTIF('Master Index'!$B$2:$B$68,"Teaching Spine")</f>
        <v>3</v>
      </c>
      <c r="D18" s="19" t="s">
        <v>391</v>
      </c>
      <c r="E18" s="15" t="s">
        <v>398</v>
      </c>
    </row>
    <row r="19" customFormat="false" ht="15" hidden="false" customHeight="false" outlineLevel="0" collapsed="false">
      <c r="A19" s="15" t="s">
        <v>161</v>
      </c>
      <c r="B19" s="15" t="n">
        <f aca="false">COUNTIF('Master Index'!$B$2:$B$68,"Clinical Skills")</f>
        <v>10</v>
      </c>
      <c r="D19" s="17" t="s">
        <v>89</v>
      </c>
      <c r="E19" s="15" t="s">
        <v>399</v>
      </c>
    </row>
    <row r="20" customFormat="false" ht="15" hidden="false" customHeight="false" outlineLevel="0" collapsed="false">
      <c r="A20" s="15" t="s">
        <v>178</v>
      </c>
      <c r="B20" s="15" t="n">
        <f aca="false">COUNTIF('Master Index'!$B$2:$B$68,"Acute &amp; Safety")</f>
        <v>8</v>
      </c>
      <c r="D20" s="20" t="s">
        <v>309</v>
      </c>
      <c r="E20" s="15" t="s">
        <v>400</v>
      </c>
    </row>
    <row r="21" customFormat="false" ht="15" hidden="false" customHeight="false" outlineLevel="0" collapsed="false">
      <c r="A21" s="15" t="s">
        <v>105</v>
      </c>
      <c r="B21" s="15" t="n">
        <f aca="false">COUNTIF('Master Index'!$B$2:$B$68,"Psychopharmacology")</f>
        <v>4</v>
      </c>
    </row>
    <row r="22" customFormat="false" ht="15" hidden="false" customHeight="false" outlineLevel="0" collapsed="false">
      <c r="A22" s="15" t="s">
        <v>271</v>
      </c>
      <c r="B22" s="15" t="n">
        <f aca="false">COUNTIF('Master Index'!$B$2:$B$68,"Family &amp; Relational")</f>
        <v>6</v>
      </c>
    </row>
    <row r="23" customFormat="false" ht="15" hidden="false" customHeight="false" outlineLevel="0" collapsed="false">
      <c r="A23" s="15" t="s">
        <v>242</v>
      </c>
      <c r="B23" s="15" t="n">
        <f aca="false">COUNTIF('Master Index'!$B$2:$B$68,"Core Topics")</f>
        <v>1</v>
      </c>
    </row>
    <row r="24" customFormat="false" ht="15" hidden="false" customHeight="false" outlineLevel="0" collapsed="false">
      <c r="A24" s="15" t="s">
        <v>148</v>
      </c>
      <c r="B24" s="15" t="n">
        <f aca="false">COUNTIF('Master Index'!$B$2:$B$68,"Patient/Family Ed")</f>
        <v>4</v>
      </c>
    </row>
    <row r="25" customFormat="false" ht="15" hidden="false" customHeight="false" outlineLevel="0" collapsed="false">
      <c r="A25" s="15" t="s">
        <v>128</v>
      </c>
      <c r="B25" s="15" t="n">
        <f aca="false">COUNTIF('Master Index'!$B$2:$B$68,"Cases &amp; Simulation")</f>
        <v>1</v>
      </c>
    </row>
    <row r="26" customFormat="false" ht="15" hidden="false" customHeight="false" outlineLevel="0" collapsed="false">
      <c r="A26" s="15" t="s">
        <v>347</v>
      </c>
      <c r="B26" s="15" t="n">
        <f aca="false">COUNTIF('Master Index'!$B$2:$B$68,"Exam Prep")</f>
        <v>2</v>
      </c>
    </row>
    <row r="27" customFormat="false" ht="15" hidden="false" customHeight="false" outlineLevel="0" collapsed="false">
      <c r="A27" s="15" t="s">
        <v>134</v>
      </c>
      <c r="B27" s="15" t="n">
        <f aca="false">COUNTIF('Master Index'!$B$2:$B$68,"Media")</f>
        <v>3</v>
      </c>
    </row>
    <row r="28" customFormat="false" ht="15" hidden="false" customHeight="false" outlineLevel="0" collapsed="false">
      <c r="A28" s="15" t="s">
        <v>167</v>
      </c>
      <c r="B28" s="15" t="n">
        <f aca="false">COUNTIF('Master Index'!$B$2:$B$68,"AI &amp; Prompts")</f>
        <v>1</v>
      </c>
    </row>
    <row r="29" customFormat="false" ht="15" hidden="false" customHeight="false" outlineLevel="0" collapsed="false">
      <c r="A29" s="15" t="s">
        <v>18</v>
      </c>
      <c r="B29" s="15" t="n">
        <f aca="false">COUNTIF('Master Index'!$B$2:$B$68,"Faculty")</f>
        <v>5</v>
      </c>
    </row>
    <row r="30" customFormat="false" ht="15" hidden="false" customHeight="false" outlineLevel="0" collapsed="false">
      <c r="A30" s="15" t="s">
        <v>331</v>
      </c>
      <c r="B30" s="15" t="n">
        <f aca="false">COUNTIF('Master Index'!$B$2:$B$68,"Tracks")</f>
        <v>2</v>
      </c>
    </row>
    <row r="31" customFormat="false" ht="15" hidden="false" customHeight="false" outlineLevel="0" collapsed="false">
      <c r="A31" s="15" t="s">
        <v>309</v>
      </c>
      <c r="B31" s="15" t="n">
        <f aca="false">COUNTIF('Master Index'!$B$2:$B$68,"Archive")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2026-06-27T11:26:18Z</dcterms:created>
  <dc:creator>openpyxl</dc:creator>
  <dc:description/>
  <dc:language>en-US</dc:language>
  <cp:lastModifiedBy/>
  <dcterms:modified xsi:type="dcterms:W3CDTF">2026-06-27T11:26:18Z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