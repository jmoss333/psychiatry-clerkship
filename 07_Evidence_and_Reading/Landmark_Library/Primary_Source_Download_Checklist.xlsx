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oad Checklist" sheetId="1" state="visible" r:id="rId3"/>
    <sheet name="Progress" sheetId="2" state="visible" r:id="rId4"/>
  </sheets>
  <definedNames>
    <definedName function="false" hidden="true" localSheetId="0" name="_xlnm._FilterDatabase" vbProcedure="false">'Download Checklist'!$A$1:$J$46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<sst xmlns="http://schemas.openxmlformats.org/spreadsheetml/2006/main" count="327" uniqueCount="228">
  <si>
    <t xml:space="preserve">Tier</t>
  </si>
  <si>
    <t xml:space="preserve">Topic</t>
  </si>
  <si>
    <t xml:space="preserve">Citation</t>
  </si>
  <si>
    <t xml:space="preserve">Title</t>
  </si>
  <si>
    <t xml:space="preserve">PMID</t>
  </si>
  <si>
    <t xml:space="preserve">DOI</t>
  </si>
  <si>
    <t xml:space="preserve">Open</t>
  </si>
  <si>
    <t xml:space="preserve">Access</t>
  </si>
  <si>
    <t xml:space="preserve">Downloaded</t>
  </si>
  <si>
    <t xml:space="preserve">Notes</t>
  </si>
  <si>
    <t xml:space="preserve">1</t>
  </si>
  <si>
    <t xml:space="preserve">Foundations</t>
  </si>
  <si>
    <t xml:space="preserve">Engel 1977 · Science 196:129</t>
  </si>
  <si>
    <t xml:space="preserve">The need for a new medical model: a challenge for biomedicine</t>
  </si>
  <si>
    <t xml:space="preserve">847460</t>
  </si>
  <si>
    <t xml:space="preserve">10.1126/science.847460</t>
  </si>
  <si>
    <t xml:space="preserve">Paywalled (covered)</t>
  </si>
  <si>
    <t xml:space="preserve">Rosenhan 1973 · Science 179:250</t>
  </si>
  <si>
    <t xml:space="preserve">On being sane in insane places</t>
  </si>
  <si>
    <t xml:space="preserve">4683124</t>
  </si>
  <si>
    <t xml:space="preserve">10.1126/science.179.4070.250</t>
  </si>
  <si>
    <t xml:space="preserve">Capacity</t>
  </si>
  <si>
    <t xml:space="preserve">Appelbaum &amp; Grisso 1988 · NEJM 319:1635</t>
  </si>
  <si>
    <t xml:space="preserve">Assessing patients' capacities to consent to treatment</t>
  </si>
  <si>
    <t xml:space="preserve">3200278</t>
  </si>
  <si>
    <t xml:space="preserve">10.1056/NEJM198812223192504</t>
  </si>
  <si>
    <t xml:space="preserve">Suicide/Safety</t>
  </si>
  <si>
    <t xml:space="preserve">Stanley &amp; Brown 2012 · Cogn Behav Pract 19:256</t>
  </si>
  <si>
    <t xml:space="preserve">Safety Planning Intervention</t>
  </si>
  <si>
    <t xml:space="preserve">10.1016/j.cbpra.2011.01.001</t>
  </si>
  <si>
    <t xml:space="preserve">DOI via Crossref (not in PubMed); SPI evidence base</t>
  </si>
  <si>
    <t xml:space="preserve">Psychopharm</t>
  </si>
  <si>
    <t xml:space="preserve">Lieberman 2005 (CATIE) · NEJM 353:1209</t>
  </si>
  <si>
    <t xml:space="preserve">Effectiveness of antipsychotic drugs in chronic schizophrenia</t>
  </si>
  <si>
    <t xml:space="preserve">16172203</t>
  </si>
  <si>
    <t xml:space="preserve">10.1056/NEJMoa051688</t>
  </si>
  <si>
    <t xml:space="preserve">Depression</t>
  </si>
  <si>
    <t xml:space="preserve">Rush 2006 (STAR*D) · AJP 163:1905</t>
  </si>
  <si>
    <t xml:space="preserve">Acute &amp; longer-term outcomes in depressed outpatients (steps)</t>
  </si>
  <si>
    <t xml:space="preserve">17074942</t>
  </si>
  <si>
    <t xml:space="preserve">10.1176/ajp.2006.163.11.1905</t>
  </si>
  <si>
    <t xml:space="preserve">Family/EE</t>
  </si>
  <si>
    <t xml:space="preserve">Brown, Birley &amp; Wing 1972 · Br J Psychiatry 121:241</t>
  </si>
  <si>
    <t xml:space="preserve">Influence of family life on the course of schizophrenic disorders</t>
  </si>
  <si>
    <t xml:space="preserve">5073778</t>
  </si>
  <si>
    <t xml:space="preserve">10.1192/bjp.121.3.241</t>
  </si>
  <si>
    <t xml:space="preserve">Catatonia</t>
  </si>
  <si>
    <t xml:space="preserve">Bush 1996 (I) · Acta Psychiatr Scand 93:129</t>
  </si>
  <si>
    <t xml:space="preserve">Catatonia I: rating scale and standardized examination (BFCRS)</t>
  </si>
  <si>
    <t xml:space="preserve">8686483</t>
  </si>
  <si>
    <t xml:space="preserve">10.1111/j.1600-0447.1996.tb09814.x</t>
  </si>
  <si>
    <t xml:space="preserve">Psychotherapy</t>
  </si>
  <si>
    <t xml:space="preserve">Wampold 1997 · Psychol Bull 122:203</t>
  </si>
  <si>
    <t xml:space="preserve">Bona fide psychotherapies: 'all must have prizes' (common factors)</t>
  </si>
  <si>
    <t xml:space="preserve">10.1037/0033-2909.122.3.203</t>
  </si>
  <si>
    <t xml:space="preserve">DOI via Crossref (not in MEDLINE)</t>
  </si>
  <si>
    <t xml:space="preserve">Personality/DBT</t>
  </si>
  <si>
    <t xml:space="preserve">Linehan 1991 · Arch Gen Psychiatry 48:1060</t>
  </si>
  <si>
    <t xml:space="preserve">CBT of chronically parasuicidal borderline patients</t>
  </si>
  <si>
    <t xml:space="preserve">1845222</t>
  </si>
  <si>
    <t xml:space="preserve">10.1001/archpsyc.1991.01810360024003</t>
  </si>
  <si>
    <t xml:space="preserve">Family</t>
  </si>
  <si>
    <t xml:space="preserve">Pharoah 2010 · Cochrane CD000088</t>
  </si>
  <si>
    <t xml:space="preserve">Family intervention for schizophrenia</t>
  </si>
  <si>
    <t xml:space="preserve">21154340</t>
  </si>
  <si>
    <t xml:space="preserve">10.1002/14651858.CD000088.pub2</t>
  </si>
  <si>
    <t xml:space="preserve">Cochrane via institution</t>
  </si>
  <si>
    <t xml:space="preserve">Adolescent</t>
  </si>
  <si>
    <t xml:space="preserve">March 2004 (TADS) · JAMA 292:807</t>
  </si>
  <si>
    <t xml:space="preserve">Fluoxetine, CBT, and combination for adolescent depression</t>
  </si>
  <si>
    <t xml:space="preserve">15315995</t>
  </si>
  <si>
    <t xml:space="preserve">10.1001/jama.292.7.807</t>
  </si>
  <si>
    <t xml:space="preserve">Trauma/ACE</t>
  </si>
  <si>
    <t xml:space="preserve">Felitti 1998 (ACE) · Am J Prev Med 14:245</t>
  </si>
  <si>
    <t xml:space="preserve">Childhood abuse/household dysfunction &amp; leading causes of death</t>
  </si>
  <si>
    <t xml:space="preserve">9635069</t>
  </si>
  <si>
    <t xml:space="preserve">10.1016/s0749-3797(98)00017-8</t>
  </si>
  <si>
    <t xml:space="preserve">Genetics</t>
  </si>
  <si>
    <t xml:space="preserve">Caspi 2003 · Science 301:386</t>
  </si>
  <si>
    <t xml:space="preserve">5-HTTLPR × life stress moderation of depression</t>
  </si>
  <si>
    <t xml:space="preserve">12869766</t>
  </si>
  <si>
    <t xml:space="preserve">10.1126/science.1083968</t>
  </si>
  <si>
    <t xml:space="preserve">Pair with Border 2019</t>
  </si>
  <si>
    <t xml:space="preserve">Border 2019 · AJP 176:376</t>
  </si>
  <si>
    <t xml:space="preserve">No support for historical candidate-gene hypotheses for depression</t>
  </si>
  <si>
    <t xml:space="preserve">30845820</t>
  </si>
  <si>
    <t xml:space="preserve">10.1176/appi.ajp.2018.18070881</t>
  </si>
  <si>
    <t xml:space="preserve">Suicide</t>
  </si>
  <si>
    <t xml:space="preserve">Franklin 2017 · Psychol Bull 143:187</t>
  </si>
  <si>
    <t xml:space="preserve">Risk factors for suicidal thoughts/behaviors: 50-year meta-analysis</t>
  </si>
  <si>
    <t xml:space="preserve">27841450</t>
  </si>
  <si>
    <t xml:space="preserve">10.1037/bul0000084</t>
  </si>
  <si>
    <t xml:space="preserve">Addiction</t>
  </si>
  <si>
    <t xml:space="preserve">Volkow 2016 · NEJM 374:363</t>
  </si>
  <si>
    <t xml:space="preserve">Neurobiologic advances from the brain disease model of addiction</t>
  </si>
  <si>
    <t xml:space="preserve">26816013</t>
  </si>
  <si>
    <t xml:space="preserve">10.1056/NEJMra1511480</t>
  </si>
  <si>
    <t xml:space="preserve">3</t>
  </si>
  <si>
    <t xml:space="preserve">Instrument · Suicide</t>
  </si>
  <si>
    <t xml:space="preserve">Posner 2011 · AJP 168:1266</t>
  </si>
  <si>
    <t xml:space="preserve">Columbia-Suicide Severity Rating Scale (C-SSRS)</t>
  </si>
  <si>
    <t xml:space="preserve">22193671</t>
  </si>
  <si>
    <t xml:space="preserve">10.1176/appi.ajp.2011.10111704</t>
  </si>
  <si>
    <t xml:space="preserve">Stanley 2018 · JAMA Psychiatry 75:894</t>
  </si>
  <si>
    <t xml:space="preserve">Safety Planning Intervention RCT (ED)</t>
  </si>
  <si>
    <t xml:space="preserve">29998307</t>
  </si>
  <si>
    <t xml:space="preserve">10.1001/jamapsychiatry.2018.1776</t>
  </si>
  <si>
    <t xml:space="preserve">The SPI evidence base</t>
  </si>
  <si>
    <t xml:space="preserve">Instrument · Alcohol</t>
  </si>
  <si>
    <t xml:space="preserve">Sullivan 1989 · Br J Addict 84:1353</t>
  </si>
  <si>
    <t xml:space="preserve">CIWA-Ar validation</t>
  </si>
  <si>
    <t xml:space="preserve">2597811</t>
  </si>
  <si>
    <t xml:space="preserve">10.1111/j.1360-0443.1989.tb00737.x</t>
  </si>
  <si>
    <t xml:space="preserve">Instrument · Opioid</t>
  </si>
  <si>
    <t xml:space="preserve">Wesson &amp; Ling 2003 · J Psychoactive Drugs 35:253</t>
  </si>
  <si>
    <t xml:space="preserve">Clinical Opiate Withdrawal Scale (COWS)</t>
  </si>
  <si>
    <t xml:space="preserve">12924748</t>
  </si>
  <si>
    <t xml:space="preserve">10.1080/02791072.2003.10400007</t>
  </si>
  <si>
    <t xml:space="preserve">Instrument · Violence</t>
  </si>
  <si>
    <t xml:space="preserve">Almvik 2000 · J Interpers Violence 15:1284</t>
  </si>
  <si>
    <t xml:space="preserve">Brøset Violence Checklist validation</t>
  </si>
  <si>
    <t xml:space="preserve">10.1177/088626000015012003</t>
  </si>
  <si>
    <t xml:space="preserve">DOI via Crossref (not in PubMed)</t>
  </si>
  <si>
    <t xml:space="preserve">Instrument · Depression</t>
  </si>
  <si>
    <t xml:space="preserve">Kroenke 2001 · J Gen Intern Med 16:606</t>
  </si>
  <si>
    <t xml:space="preserve">PHQ-9 validation</t>
  </si>
  <si>
    <t xml:space="preserve">11556941</t>
  </si>
  <si>
    <t xml:space="preserve">10.1046/j.1525-1497.2001.016009606.x</t>
  </si>
  <si>
    <t xml:space="preserve">Instrument · Anxiety</t>
  </si>
  <si>
    <t xml:space="preserve">Spitzer 2006 · Arch Intern Med 166:1092</t>
  </si>
  <si>
    <t xml:space="preserve">GAD-7</t>
  </si>
  <si>
    <t xml:space="preserve">16717171</t>
  </si>
  <si>
    <t xml:space="preserve">10.1001/archinte.166.10.1092</t>
  </si>
  <si>
    <t xml:space="preserve">Instrument · Bipolar</t>
  </si>
  <si>
    <t xml:space="preserve">Hirschfeld 2000 · AJP 157:1873</t>
  </si>
  <si>
    <t xml:space="preserve">Mood Disorder Questionnaire (MDQ)</t>
  </si>
  <si>
    <t xml:space="preserve">11058490</t>
  </si>
  <si>
    <t xml:space="preserve">10.1176/appi.ajp.157.11.1873</t>
  </si>
  <si>
    <t xml:space="preserve">Instrument · Catatonia</t>
  </si>
  <si>
    <t xml:space="preserve">Bush 1996 (II) · Acta Psychiatr Scand 93:137</t>
  </si>
  <si>
    <t xml:space="preserve">Catatonia II: treatment with lorazepam and ECT</t>
  </si>
  <si>
    <t xml:space="preserve">Companion to BFCRS (I)</t>
  </si>
  <si>
    <t xml:space="preserve">2</t>
  </si>
  <si>
    <t xml:space="preserve">Cipriani 2018 · Lancet 391:1357</t>
  </si>
  <si>
    <t xml:space="preserve">Comparative efficacy/acceptability of 21 antidepressants</t>
  </si>
  <si>
    <t xml:space="preserve">29477251</t>
  </si>
  <si>
    <t xml:space="preserve">10.1016/S0140-6736(17)32802-7</t>
  </si>
  <si>
    <t xml:space="preserve">Uses your Lancet access</t>
  </si>
  <si>
    <t xml:space="preserve">Huhn 2019 · Lancet 394:939</t>
  </si>
  <si>
    <t xml:space="preserve">Comparative efficacy of 32 antipsychotics</t>
  </si>
  <si>
    <t xml:space="preserve">31303314</t>
  </si>
  <si>
    <t xml:space="preserve">10.1016/S0140-6736(19)31135-3</t>
  </si>
  <si>
    <t xml:space="preserve">Leucht 2013 · Lancet 382:951</t>
  </si>
  <si>
    <t xml:space="preserve">Antipsychotics vs placebo (multiple-treatments meta-analysis)</t>
  </si>
  <si>
    <t xml:space="preserve">23810019</t>
  </si>
  <si>
    <t xml:space="preserve">10.1016/S0140-6736(13)60733-3</t>
  </si>
  <si>
    <t xml:space="preserve">Mood/Lithium</t>
  </si>
  <si>
    <t xml:space="preserve">Cipriani 2013 · BMJ 346:f3646</t>
  </si>
  <si>
    <t xml:space="preserve">Lithium in mood disorders &amp; suicide prevention</t>
  </si>
  <si>
    <t xml:space="preserve">23814104</t>
  </si>
  <si>
    <t xml:space="preserve">10.1136/bmj.f3646</t>
  </si>
  <si>
    <t xml:space="preserve">Early psychosis</t>
  </si>
  <si>
    <t xml:space="preserve">Kane 2016 (RAISE) · AJP 173:362</t>
  </si>
  <si>
    <t xml:space="preserve">Coordinated specialty care for first-episode psychosis</t>
  </si>
  <si>
    <t xml:space="preserve">26481174</t>
  </si>
  <si>
    <t xml:space="preserve">10.1176/appi.ajp.2015.15050632</t>
  </si>
  <si>
    <t xml:space="preserve">McGorry 2008 · World Psychiatry 7:148</t>
  </si>
  <si>
    <t xml:space="preserve">Early intervention in psychosis</t>
  </si>
  <si>
    <t xml:space="preserve">18836582</t>
  </si>
  <si>
    <t xml:space="preserve">10.1002/j.2051-5545.2008.tb00182.x</t>
  </si>
  <si>
    <t xml:space="preserve">Mood/Sleep</t>
  </si>
  <si>
    <t xml:space="preserve">Harvey 2015 · J Affect Disord / J Consult Clin Psychol</t>
  </si>
  <si>
    <t xml:space="preserve">Treating sleep/insomnia improves mood in bipolar</t>
  </si>
  <si>
    <t xml:space="preserve">Multiple Harvey 2015 papers — search by title</t>
  </si>
  <si>
    <t xml:space="preserve">Mood/Circadian</t>
  </si>
  <si>
    <t xml:space="preserve">Frank 2005 (IPSRT) · Arch Gen Psychiatry 62:996</t>
  </si>
  <si>
    <t xml:space="preserve">Interpersonal &amp; Social Rhythm Therapy outcomes (bipolar I)</t>
  </si>
  <si>
    <t xml:space="preserve">16143731</t>
  </si>
  <si>
    <t xml:space="preserve">10.1001/archpsyc.62.9.996</t>
  </si>
  <si>
    <t xml:space="preserve">Recovery</t>
  </si>
  <si>
    <t xml:space="preserve">Deegan 1996 · Psychiatr Rehabil J 19:91</t>
  </si>
  <si>
    <t xml:space="preserve">Recovery as a journey of the heart</t>
  </si>
  <si>
    <t xml:space="preserve">10.1037/h0101301</t>
  </si>
  <si>
    <t xml:space="preserve">Neurodiversity</t>
  </si>
  <si>
    <t xml:space="preserve">Lai &amp; Baron-Cohen 2015 · Lancet Psychiatry 2:1013</t>
  </si>
  <si>
    <t xml:space="preserve">Identifying the lost generation of adults with autism</t>
  </si>
  <si>
    <t xml:space="preserve">26544750</t>
  </si>
  <si>
    <t xml:space="preserve">10.1016/S2215-0366(15)00277-1</t>
  </si>
  <si>
    <t xml:space="preserve">Geriatric/DDx</t>
  </si>
  <si>
    <t xml:space="preserve">Caine 1981 · Arch Gen Psychiatry 38:1359</t>
  </si>
  <si>
    <t xml:space="preserve">Pseudodementia: current concepts</t>
  </si>
  <si>
    <t xml:space="preserve">7316680</t>
  </si>
  <si>
    <t xml:space="preserve">10.1001/archpsyc.1981.01780370061008</t>
  </si>
  <si>
    <t xml:space="preserve">Geriatric</t>
  </si>
  <si>
    <t xml:space="preserve">Alexopoulos 1997 · Arch Gen Psychiatry 54:915</t>
  </si>
  <si>
    <t xml:space="preserve">The 'vascular depression' hypothesis</t>
  </si>
  <si>
    <t xml:space="preserve">9337771</t>
  </si>
  <si>
    <t xml:space="preserve">10.1001/archpsyc.1997.01830220033006</t>
  </si>
  <si>
    <t xml:space="preserve">Family (book)</t>
  </si>
  <si>
    <t xml:space="preserve">McFarlane 1997</t>
  </si>
  <si>
    <t xml:space="preserve">Psychoeducational multifamily groups (chapter)</t>
  </si>
  <si>
    <t xml:space="preserve">Book</t>
  </si>
  <si>
    <t xml:space="preserve">Library/ILL</t>
  </si>
  <si>
    <t xml:space="preserve">Miklowitz &amp; Goldstein 1997</t>
  </si>
  <si>
    <t xml:space="preserve">Bipolar Disorder: A Family-Focused Treatment Approach</t>
  </si>
  <si>
    <t xml:space="preserve">Catatonia (book)</t>
  </si>
  <si>
    <t xml:space="preserve">Fink &amp; Taylor 2003</t>
  </si>
  <si>
    <t xml:space="preserve">Catatonia: A Clinician's Guide to Diagnosis &amp; Treatment</t>
  </si>
  <si>
    <t xml:space="preserve">4</t>
  </si>
  <si>
    <t xml:space="preserve">Guideline</t>
  </si>
  <si>
    <t xml:space="preserve">APA 2021</t>
  </si>
  <si>
    <t xml:space="preserve">Practice Guideline — Treatment of Patients With Schizophrenia (3rd ed.)</t>
  </si>
  <si>
    <t xml:space="preserve">psychiatryonline.org</t>
  </si>
  <si>
    <t xml:space="preserve">APA</t>
  </si>
  <si>
    <t xml:space="preserve">Practice Guidelines — MDD, Bipolar, Suicidal Behaviors</t>
  </si>
  <si>
    <t xml:space="preserve">ASAM 2020</t>
  </si>
  <si>
    <t xml:space="preserve">Alcohol withdrawal management guideline</t>
  </si>
  <si>
    <t xml:space="preserve">asam.org</t>
  </si>
  <si>
    <t xml:space="preserve">NICE</t>
  </si>
  <si>
    <t xml:space="preserve">NG10 violence/aggression · NG225 self-harm · CG185 bipolar</t>
  </si>
  <si>
    <t xml:space="preserve">nice.org.uk</t>
  </si>
  <si>
    <t xml:space="preserve">Download Progress</t>
  </si>
  <si>
    <t xml:space="preserve">Total items</t>
  </si>
  <si>
    <t xml:space="preserve">With verified DOI link</t>
  </si>
  <si>
    <t xml:space="preserve">Downloaded (mark ✓ or x in col I)</t>
  </si>
  <si>
    <t xml:space="preserve">Remaining</t>
  </si>
  <si>
    <t xml:space="preserve">Tip: mark any character in the Downloaded column as you save each PDF; this updates automatically.</t>
  </si>
  <si>
    <t xml:space="preserve">PMIDs/DOIs sourced from PubMed (U.S. National Library of Medicine).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</si>
</sst>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FFF8E1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DDEBF7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5" t="str">
        <f aca="false">HYPERLINK("https://doi.org/10.1126/science.847460","open")</f>
        <v>open</v>
      </c>
      <c r="H2" s="3" t="s">
        <v>16</v>
      </c>
      <c r="I2" s="6"/>
      <c r="J2" s="3"/>
    </row>
    <row r="3" customFormat="false" ht="15" hidden="false" customHeight="false" outlineLevel="0" collapsed="false">
      <c r="A3" s="2" t="s">
        <v>10</v>
      </c>
      <c r="B3" s="3" t="s">
        <v>11</v>
      </c>
      <c r="C3" s="3" t="s">
        <v>17</v>
      </c>
      <c r="D3" s="3" t="s">
        <v>18</v>
      </c>
      <c r="E3" s="4" t="s">
        <v>19</v>
      </c>
      <c r="F3" s="3" t="s">
        <v>20</v>
      </c>
      <c r="G3" s="5" t="str">
        <f aca="false">HYPERLINK("https://doi.org/10.1126/science.179.4070.250","open")</f>
        <v>open</v>
      </c>
      <c r="H3" s="3" t="s">
        <v>16</v>
      </c>
      <c r="I3" s="6"/>
      <c r="J3" s="3"/>
    </row>
    <row r="4" customFormat="false" ht="23.85" hidden="false" customHeight="false" outlineLevel="0" collapsed="false">
      <c r="A4" s="2" t="s">
        <v>10</v>
      </c>
      <c r="B4" s="3" t="s">
        <v>21</v>
      </c>
      <c r="C4" s="3" t="s">
        <v>22</v>
      </c>
      <c r="D4" s="3" t="s">
        <v>23</v>
      </c>
      <c r="E4" s="4" t="s">
        <v>24</v>
      </c>
      <c r="F4" s="3" t="s">
        <v>25</v>
      </c>
      <c r="G4" s="5" t="str">
        <f aca="false">HYPERLINK("https://doi.org/10.1056/NEJM198812223192504","open")</f>
        <v>open</v>
      </c>
      <c r="H4" s="3" t="s">
        <v>16</v>
      </c>
      <c r="I4" s="6"/>
      <c r="J4" s="3"/>
    </row>
    <row r="5" customFormat="false" ht="23.85" hidden="false" customHeight="false" outlineLevel="0" collapsed="false">
      <c r="A5" s="2" t="s">
        <v>10</v>
      </c>
      <c r="B5" s="3" t="s">
        <v>26</v>
      </c>
      <c r="C5" s="3" t="s">
        <v>27</v>
      </c>
      <c r="D5" s="3" t="s">
        <v>28</v>
      </c>
      <c r="E5" s="4"/>
      <c r="F5" s="3" t="s">
        <v>29</v>
      </c>
      <c r="G5" s="5" t="str">
        <f aca="false">HYPERLINK("https://doi.org/10.1016/j.cbpra.2011.01.001","open")</f>
        <v>open</v>
      </c>
      <c r="H5" s="3" t="s">
        <v>6</v>
      </c>
      <c r="I5" s="6"/>
      <c r="J5" s="3" t="s">
        <v>30</v>
      </c>
    </row>
    <row r="6" customFormat="false" ht="23.85" hidden="false" customHeight="false" outlineLevel="0" collapsed="false">
      <c r="A6" s="2" t="s">
        <v>10</v>
      </c>
      <c r="B6" s="3" t="s">
        <v>31</v>
      </c>
      <c r="C6" s="3" t="s">
        <v>32</v>
      </c>
      <c r="D6" s="3" t="s">
        <v>33</v>
      </c>
      <c r="E6" s="4" t="s">
        <v>34</v>
      </c>
      <c r="F6" s="3" t="s">
        <v>35</v>
      </c>
      <c r="G6" s="5" t="str">
        <f aca="false">HYPERLINK("https://doi.org/10.1056/NEJMoa051688","open")</f>
        <v>open</v>
      </c>
      <c r="H6" s="3" t="s">
        <v>16</v>
      </c>
      <c r="I6" s="6"/>
      <c r="J6" s="3"/>
    </row>
    <row r="7" customFormat="false" ht="23.85" hidden="false" customHeight="false" outlineLevel="0" collapsed="false">
      <c r="A7" s="2" t="s">
        <v>10</v>
      </c>
      <c r="B7" s="3" t="s">
        <v>36</v>
      </c>
      <c r="C7" s="3" t="s">
        <v>37</v>
      </c>
      <c r="D7" s="3" t="s">
        <v>38</v>
      </c>
      <c r="E7" s="4" t="s">
        <v>39</v>
      </c>
      <c r="F7" s="3" t="s">
        <v>40</v>
      </c>
      <c r="G7" s="5" t="str">
        <f aca="false">HYPERLINK("https://doi.org/10.1176/ajp.2006.163.11.1905","open")</f>
        <v>open</v>
      </c>
      <c r="H7" s="3" t="s">
        <v>16</v>
      </c>
      <c r="I7" s="6"/>
      <c r="J7" s="3"/>
    </row>
    <row r="8" customFormat="false" ht="23.85" hidden="false" customHeight="false" outlineLevel="0" collapsed="false">
      <c r="A8" s="2" t="s">
        <v>10</v>
      </c>
      <c r="B8" s="3" t="s">
        <v>41</v>
      </c>
      <c r="C8" s="3" t="s">
        <v>42</v>
      </c>
      <c r="D8" s="3" t="s">
        <v>43</v>
      </c>
      <c r="E8" s="4" t="s">
        <v>44</v>
      </c>
      <c r="F8" s="3" t="s">
        <v>45</v>
      </c>
      <c r="G8" s="5" t="str">
        <f aca="false">HYPERLINK("https://doi.org/10.1192/bjp.121.3.241","open")</f>
        <v>open</v>
      </c>
      <c r="H8" s="3" t="s">
        <v>16</v>
      </c>
      <c r="I8" s="6"/>
      <c r="J8" s="3"/>
    </row>
    <row r="9" customFormat="false" ht="23.85" hidden="false" customHeight="false" outlineLevel="0" collapsed="false">
      <c r="A9" s="2" t="s">
        <v>10</v>
      </c>
      <c r="B9" s="3" t="s">
        <v>46</v>
      </c>
      <c r="C9" s="3" t="s">
        <v>47</v>
      </c>
      <c r="D9" s="3" t="s">
        <v>48</v>
      </c>
      <c r="E9" s="4" t="s">
        <v>49</v>
      </c>
      <c r="F9" s="3" t="s">
        <v>50</v>
      </c>
      <c r="G9" s="5" t="str">
        <f aca="false">HYPERLINK("https://doi.org/10.1111/j.1600-0447.1996.tb09814.x","open")</f>
        <v>open</v>
      </c>
      <c r="H9" s="3" t="s">
        <v>16</v>
      </c>
      <c r="I9" s="6"/>
      <c r="J9" s="3"/>
    </row>
    <row r="10" customFormat="false" ht="23.85" hidden="false" customHeight="false" outlineLevel="0" collapsed="false">
      <c r="A10" s="2" t="s">
        <v>10</v>
      </c>
      <c r="B10" s="3" t="s">
        <v>51</v>
      </c>
      <c r="C10" s="3" t="s">
        <v>52</v>
      </c>
      <c r="D10" s="3" t="s">
        <v>53</v>
      </c>
      <c r="E10" s="4"/>
      <c r="F10" s="3" t="s">
        <v>54</v>
      </c>
      <c r="G10" s="5" t="str">
        <f aca="false">HYPERLINK("https://doi.org/10.1037/0033-2909.122.3.203","open")</f>
        <v>open</v>
      </c>
      <c r="H10" s="3" t="s">
        <v>16</v>
      </c>
      <c r="I10" s="6"/>
      <c r="J10" s="3" t="s">
        <v>55</v>
      </c>
    </row>
    <row r="11" customFormat="false" ht="23.85" hidden="false" customHeight="false" outlineLevel="0" collapsed="false">
      <c r="A11" s="2" t="s">
        <v>10</v>
      </c>
      <c r="B11" s="3" t="s">
        <v>56</v>
      </c>
      <c r="C11" s="3" t="s">
        <v>57</v>
      </c>
      <c r="D11" s="3" t="s">
        <v>58</v>
      </c>
      <c r="E11" s="4" t="s">
        <v>59</v>
      </c>
      <c r="F11" s="3" t="s">
        <v>60</v>
      </c>
      <c r="G11" s="5" t="str">
        <f aca="false">HYPERLINK("https://doi.org/10.1001/archpsyc.1991.01810360024003","open")</f>
        <v>open</v>
      </c>
      <c r="H11" s="3" t="s">
        <v>16</v>
      </c>
      <c r="I11" s="6"/>
      <c r="J11" s="3"/>
    </row>
    <row r="12" customFormat="false" ht="15" hidden="false" customHeight="false" outlineLevel="0" collapsed="false">
      <c r="A12" s="2" t="s">
        <v>10</v>
      </c>
      <c r="B12" s="3" t="s">
        <v>61</v>
      </c>
      <c r="C12" s="3" t="s">
        <v>62</v>
      </c>
      <c r="D12" s="3" t="s">
        <v>63</v>
      </c>
      <c r="E12" s="4" t="s">
        <v>64</v>
      </c>
      <c r="F12" s="3" t="s">
        <v>65</v>
      </c>
      <c r="G12" s="5" t="str">
        <f aca="false">HYPERLINK("https://doi.org/10.1002/14651858.CD000088.pub2","open")</f>
        <v>open</v>
      </c>
      <c r="H12" s="3" t="s">
        <v>16</v>
      </c>
      <c r="I12" s="6"/>
      <c r="J12" s="3" t="s">
        <v>66</v>
      </c>
    </row>
    <row r="13" customFormat="false" ht="23.85" hidden="false" customHeight="false" outlineLevel="0" collapsed="false">
      <c r="A13" s="2" t="s">
        <v>10</v>
      </c>
      <c r="B13" s="3" t="s">
        <v>67</v>
      </c>
      <c r="C13" s="3" t="s">
        <v>68</v>
      </c>
      <c r="D13" s="3" t="s">
        <v>69</v>
      </c>
      <c r="E13" s="4" t="s">
        <v>70</v>
      </c>
      <c r="F13" s="3" t="s">
        <v>71</v>
      </c>
      <c r="G13" s="5" t="str">
        <f aca="false">HYPERLINK("https://doi.org/10.1001/jama.292.7.807","open")</f>
        <v>open</v>
      </c>
      <c r="H13" s="3" t="s">
        <v>16</v>
      </c>
      <c r="I13" s="6"/>
      <c r="J13" s="3"/>
    </row>
    <row r="14" customFormat="false" ht="23.85" hidden="false" customHeight="false" outlineLevel="0" collapsed="false">
      <c r="A14" s="2" t="s">
        <v>10</v>
      </c>
      <c r="B14" s="3" t="s">
        <v>72</v>
      </c>
      <c r="C14" s="3" t="s">
        <v>73</v>
      </c>
      <c r="D14" s="3" t="s">
        <v>74</v>
      </c>
      <c r="E14" s="4" t="s">
        <v>75</v>
      </c>
      <c r="F14" s="3" t="s">
        <v>76</v>
      </c>
      <c r="G14" s="5" t="str">
        <f aca="false">HYPERLINK("https://doi.org/10.1016/s0749-3797(98)00017-8","open")</f>
        <v>open</v>
      </c>
      <c r="H14" s="3" t="s">
        <v>16</v>
      </c>
      <c r="I14" s="6"/>
      <c r="J14" s="3"/>
    </row>
    <row r="15" customFormat="false" ht="15" hidden="false" customHeight="false" outlineLevel="0" collapsed="false">
      <c r="A15" s="2" t="s">
        <v>10</v>
      </c>
      <c r="B15" s="3" t="s">
        <v>77</v>
      </c>
      <c r="C15" s="3" t="s">
        <v>78</v>
      </c>
      <c r="D15" s="3" t="s">
        <v>79</v>
      </c>
      <c r="E15" s="4" t="s">
        <v>80</v>
      </c>
      <c r="F15" s="3" t="s">
        <v>81</v>
      </c>
      <c r="G15" s="5" t="str">
        <f aca="false">HYPERLINK("https://doi.org/10.1126/science.1083968","open")</f>
        <v>open</v>
      </c>
      <c r="H15" s="3" t="s">
        <v>16</v>
      </c>
      <c r="I15" s="6"/>
      <c r="J15" s="3" t="s">
        <v>82</v>
      </c>
    </row>
    <row r="16" customFormat="false" ht="23.85" hidden="false" customHeight="false" outlineLevel="0" collapsed="false">
      <c r="A16" s="2" t="s">
        <v>10</v>
      </c>
      <c r="B16" s="3" t="s">
        <v>77</v>
      </c>
      <c r="C16" s="3" t="s">
        <v>83</v>
      </c>
      <c r="D16" s="3" t="s">
        <v>84</v>
      </c>
      <c r="E16" s="4" t="s">
        <v>85</v>
      </c>
      <c r="F16" s="3" t="s">
        <v>86</v>
      </c>
      <c r="G16" s="5" t="str">
        <f aca="false">HYPERLINK("https://doi.org/10.1176/appi.ajp.2018.18070881","open")</f>
        <v>open</v>
      </c>
      <c r="H16" s="3" t="s">
        <v>16</v>
      </c>
      <c r="I16" s="6"/>
      <c r="J16" s="3"/>
    </row>
    <row r="17" customFormat="false" ht="23.85" hidden="false" customHeight="false" outlineLevel="0" collapsed="false">
      <c r="A17" s="2" t="s">
        <v>10</v>
      </c>
      <c r="B17" s="3" t="s">
        <v>87</v>
      </c>
      <c r="C17" s="3" t="s">
        <v>88</v>
      </c>
      <c r="D17" s="3" t="s">
        <v>89</v>
      </c>
      <c r="E17" s="4" t="s">
        <v>90</v>
      </c>
      <c r="F17" s="3" t="s">
        <v>91</v>
      </c>
      <c r="G17" s="5" t="str">
        <f aca="false">HYPERLINK("https://doi.org/10.1037/bul0000084","open")</f>
        <v>open</v>
      </c>
      <c r="H17" s="3" t="s">
        <v>16</v>
      </c>
      <c r="I17" s="6"/>
      <c r="J17" s="3"/>
    </row>
    <row r="18" customFormat="false" ht="23.85" hidden="false" customHeight="false" outlineLevel="0" collapsed="false">
      <c r="A18" s="2" t="s">
        <v>10</v>
      </c>
      <c r="B18" s="3" t="s">
        <v>92</v>
      </c>
      <c r="C18" s="3" t="s">
        <v>93</v>
      </c>
      <c r="D18" s="3" t="s">
        <v>94</v>
      </c>
      <c r="E18" s="4" t="s">
        <v>95</v>
      </c>
      <c r="F18" s="3" t="s">
        <v>96</v>
      </c>
      <c r="G18" s="5" t="str">
        <f aca="false">HYPERLINK("https://doi.org/10.1056/NEJMra1511480","open")</f>
        <v>open</v>
      </c>
      <c r="H18" s="3" t="s">
        <v>16</v>
      </c>
      <c r="I18" s="6"/>
      <c r="J18" s="3"/>
    </row>
    <row r="19" customFormat="false" ht="15" hidden="false" customHeight="false" outlineLevel="0" collapsed="false">
      <c r="A19" s="7" t="s">
        <v>97</v>
      </c>
      <c r="B19" s="3" t="s">
        <v>98</v>
      </c>
      <c r="C19" s="3" t="s">
        <v>99</v>
      </c>
      <c r="D19" s="3" t="s">
        <v>100</v>
      </c>
      <c r="E19" s="4" t="s">
        <v>101</v>
      </c>
      <c r="F19" s="3" t="s">
        <v>102</v>
      </c>
      <c r="G19" s="5" t="str">
        <f aca="false">HYPERLINK("https://doi.org/10.1176/appi.ajp.2011.10111704","open")</f>
        <v>open</v>
      </c>
      <c r="H19" s="3" t="s">
        <v>16</v>
      </c>
      <c r="I19" s="6"/>
      <c r="J19" s="3"/>
    </row>
    <row r="20" customFormat="false" ht="15" hidden="false" customHeight="false" outlineLevel="0" collapsed="false">
      <c r="A20" s="7" t="s">
        <v>97</v>
      </c>
      <c r="B20" s="3" t="s">
        <v>98</v>
      </c>
      <c r="C20" s="3" t="s">
        <v>103</v>
      </c>
      <c r="D20" s="3" t="s">
        <v>104</v>
      </c>
      <c r="E20" s="4" t="s">
        <v>105</v>
      </c>
      <c r="F20" s="3" t="s">
        <v>106</v>
      </c>
      <c r="G20" s="5" t="str">
        <f aca="false">HYPERLINK("https://doi.org/10.1001/jamapsychiatry.2018.1776","open")</f>
        <v>open</v>
      </c>
      <c r="H20" s="3" t="s">
        <v>16</v>
      </c>
      <c r="I20" s="6"/>
      <c r="J20" s="3" t="s">
        <v>107</v>
      </c>
    </row>
    <row r="21" customFormat="false" ht="23.85" hidden="false" customHeight="false" outlineLevel="0" collapsed="false">
      <c r="A21" s="7" t="s">
        <v>97</v>
      </c>
      <c r="B21" s="3" t="s">
        <v>108</v>
      </c>
      <c r="C21" s="3" t="s">
        <v>109</v>
      </c>
      <c r="D21" s="3" t="s">
        <v>110</v>
      </c>
      <c r="E21" s="4" t="s">
        <v>111</v>
      </c>
      <c r="F21" s="3" t="s">
        <v>112</v>
      </c>
      <c r="G21" s="5" t="str">
        <f aca="false">HYPERLINK("https://doi.org/10.1111/j.1360-0443.1989.tb00737.x","open")</f>
        <v>open</v>
      </c>
      <c r="H21" s="3" t="s">
        <v>16</v>
      </c>
      <c r="I21" s="6"/>
      <c r="J21" s="3"/>
    </row>
    <row r="22" customFormat="false" ht="23.85" hidden="false" customHeight="false" outlineLevel="0" collapsed="false">
      <c r="A22" s="7" t="s">
        <v>97</v>
      </c>
      <c r="B22" s="3" t="s">
        <v>113</v>
      </c>
      <c r="C22" s="3" t="s">
        <v>114</v>
      </c>
      <c r="D22" s="3" t="s">
        <v>115</v>
      </c>
      <c r="E22" s="4" t="s">
        <v>116</v>
      </c>
      <c r="F22" s="3" t="s">
        <v>117</v>
      </c>
      <c r="G22" s="5" t="str">
        <f aca="false">HYPERLINK("https://doi.org/10.1080/02791072.2003.10400007","open")</f>
        <v>open</v>
      </c>
      <c r="H22" s="3" t="s">
        <v>6</v>
      </c>
      <c r="I22" s="6"/>
      <c r="J22" s="3"/>
    </row>
    <row r="23" customFormat="false" ht="23.85" hidden="false" customHeight="false" outlineLevel="0" collapsed="false">
      <c r="A23" s="7" t="s">
        <v>97</v>
      </c>
      <c r="B23" s="3" t="s">
        <v>118</v>
      </c>
      <c r="C23" s="3" t="s">
        <v>119</v>
      </c>
      <c r="D23" s="3" t="s">
        <v>120</v>
      </c>
      <c r="E23" s="4"/>
      <c r="F23" s="3" t="s">
        <v>121</v>
      </c>
      <c r="G23" s="5" t="str">
        <f aca="false">HYPERLINK("https://doi.org/10.1177/088626000015012003","open")</f>
        <v>open</v>
      </c>
      <c r="H23" s="3" t="s">
        <v>16</v>
      </c>
      <c r="I23" s="6"/>
      <c r="J23" s="3" t="s">
        <v>122</v>
      </c>
    </row>
    <row r="24" customFormat="false" ht="23.85" hidden="false" customHeight="false" outlineLevel="0" collapsed="false">
      <c r="A24" s="7" t="s">
        <v>97</v>
      </c>
      <c r="B24" s="3" t="s">
        <v>123</v>
      </c>
      <c r="C24" s="3" t="s">
        <v>124</v>
      </c>
      <c r="D24" s="3" t="s">
        <v>125</v>
      </c>
      <c r="E24" s="4" t="s">
        <v>126</v>
      </c>
      <c r="F24" s="3" t="s">
        <v>127</v>
      </c>
      <c r="G24" s="5" t="str">
        <f aca="false">HYPERLINK("https://doi.org/10.1046/j.1525-1497.2001.016009606.x","open")</f>
        <v>open</v>
      </c>
      <c r="H24" s="3" t="s">
        <v>6</v>
      </c>
      <c r="I24" s="6"/>
      <c r="J24" s="3"/>
    </row>
    <row r="25" customFormat="false" ht="15" hidden="false" customHeight="false" outlineLevel="0" collapsed="false">
      <c r="A25" s="7" t="s">
        <v>97</v>
      </c>
      <c r="B25" s="3" t="s">
        <v>128</v>
      </c>
      <c r="C25" s="3" t="s">
        <v>129</v>
      </c>
      <c r="D25" s="3" t="s">
        <v>130</v>
      </c>
      <c r="E25" s="4" t="s">
        <v>131</v>
      </c>
      <c r="F25" s="3" t="s">
        <v>132</v>
      </c>
      <c r="G25" s="5" t="str">
        <f aca="false">HYPERLINK("https://doi.org/10.1001/archinte.166.10.1092","open")</f>
        <v>open</v>
      </c>
      <c r="H25" s="3" t="s">
        <v>16</v>
      </c>
      <c r="I25" s="6"/>
      <c r="J25" s="3"/>
    </row>
    <row r="26" customFormat="false" ht="15" hidden="false" customHeight="false" outlineLevel="0" collapsed="false">
      <c r="A26" s="7" t="s">
        <v>97</v>
      </c>
      <c r="B26" s="3" t="s">
        <v>133</v>
      </c>
      <c r="C26" s="3" t="s">
        <v>134</v>
      </c>
      <c r="D26" s="3" t="s">
        <v>135</v>
      </c>
      <c r="E26" s="4" t="s">
        <v>136</v>
      </c>
      <c r="F26" s="3" t="s">
        <v>137</v>
      </c>
      <c r="G26" s="5" t="str">
        <f aca="false">HYPERLINK("https://doi.org/10.1176/appi.ajp.157.11.1873","open")</f>
        <v>open</v>
      </c>
      <c r="H26" s="3" t="s">
        <v>16</v>
      </c>
      <c r="I26" s="6"/>
      <c r="J26" s="3"/>
    </row>
    <row r="27" customFormat="false" ht="23.85" hidden="false" customHeight="false" outlineLevel="0" collapsed="false">
      <c r="A27" s="7" t="s">
        <v>97</v>
      </c>
      <c r="B27" s="3" t="s">
        <v>138</v>
      </c>
      <c r="C27" s="3" t="s">
        <v>139</v>
      </c>
      <c r="D27" s="3" t="s">
        <v>140</v>
      </c>
      <c r="E27" s="4"/>
      <c r="F27" s="3"/>
      <c r="G27" s="4"/>
      <c r="H27" s="3" t="s">
        <v>16</v>
      </c>
      <c r="I27" s="6"/>
      <c r="J27" s="3" t="s">
        <v>141</v>
      </c>
    </row>
    <row r="28" customFormat="false" ht="15" hidden="false" customHeight="false" outlineLevel="0" collapsed="false">
      <c r="A28" s="8" t="s">
        <v>142</v>
      </c>
      <c r="B28" s="3" t="s">
        <v>31</v>
      </c>
      <c r="C28" s="3" t="s">
        <v>143</v>
      </c>
      <c r="D28" s="3" t="s">
        <v>144</v>
      </c>
      <c r="E28" s="4" t="s">
        <v>145</v>
      </c>
      <c r="F28" s="3" t="s">
        <v>146</v>
      </c>
      <c r="G28" s="5" t="str">
        <f aca="false">HYPERLINK("https://doi.org/10.1016/S0140-6736(17)32802-7","open")</f>
        <v>open</v>
      </c>
      <c r="H28" s="3" t="s">
        <v>16</v>
      </c>
      <c r="I28" s="6"/>
      <c r="J28" s="3" t="s">
        <v>147</v>
      </c>
    </row>
    <row r="29" customFormat="false" ht="15" hidden="false" customHeight="false" outlineLevel="0" collapsed="false">
      <c r="A29" s="8" t="s">
        <v>142</v>
      </c>
      <c r="B29" s="3" t="s">
        <v>31</v>
      </c>
      <c r="C29" s="3" t="s">
        <v>148</v>
      </c>
      <c r="D29" s="3" t="s">
        <v>149</v>
      </c>
      <c r="E29" s="4" t="s">
        <v>150</v>
      </c>
      <c r="F29" s="3" t="s">
        <v>151</v>
      </c>
      <c r="G29" s="5" t="str">
        <f aca="false">HYPERLINK("https://doi.org/10.1016/S0140-6736(19)31135-3","open")</f>
        <v>open</v>
      </c>
      <c r="H29" s="3" t="s">
        <v>16</v>
      </c>
      <c r="I29" s="6"/>
      <c r="J29" s="3"/>
    </row>
    <row r="30" customFormat="false" ht="23.85" hidden="false" customHeight="false" outlineLevel="0" collapsed="false">
      <c r="A30" s="8" t="s">
        <v>142</v>
      </c>
      <c r="B30" s="3" t="s">
        <v>31</v>
      </c>
      <c r="C30" s="3" t="s">
        <v>152</v>
      </c>
      <c r="D30" s="3" t="s">
        <v>153</v>
      </c>
      <c r="E30" s="4" t="s">
        <v>154</v>
      </c>
      <c r="F30" s="3" t="s">
        <v>155</v>
      </c>
      <c r="G30" s="5" t="str">
        <f aca="false">HYPERLINK("https://doi.org/10.1016/S0140-6736(13)60733-3","open")</f>
        <v>open</v>
      </c>
      <c r="H30" s="3" t="s">
        <v>16</v>
      </c>
      <c r="I30" s="6"/>
      <c r="J30" s="3"/>
    </row>
    <row r="31" customFormat="false" ht="15" hidden="false" customHeight="false" outlineLevel="0" collapsed="false">
      <c r="A31" s="8" t="s">
        <v>142</v>
      </c>
      <c r="B31" s="3" t="s">
        <v>156</v>
      </c>
      <c r="C31" s="3" t="s">
        <v>157</v>
      </c>
      <c r="D31" s="3" t="s">
        <v>158</v>
      </c>
      <c r="E31" s="4" t="s">
        <v>159</v>
      </c>
      <c r="F31" s="3" t="s">
        <v>160</v>
      </c>
      <c r="G31" s="5" t="str">
        <f aca="false">HYPERLINK("https://doi.org/10.1136/bmj.f3646","open")</f>
        <v>open</v>
      </c>
      <c r="H31" s="3" t="s">
        <v>6</v>
      </c>
      <c r="I31" s="6"/>
      <c r="J31" s="3"/>
    </row>
    <row r="32" customFormat="false" ht="15" hidden="false" customHeight="false" outlineLevel="0" collapsed="false">
      <c r="A32" s="8" t="s">
        <v>142</v>
      </c>
      <c r="B32" s="3" t="s">
        <v>161</v>
      </c>
      <c r="C32" s="3" t="s">
        <v>162</v>
      </c>
      <c r="D32" s="3" t="s">
        <v>163</v>
      </c>
      <c r="E32" s="4" t="s">
        <v>164</v>
      </c>
      <c r="F32" s="3" t="s">
        <v>165</v>
      </c>
      <c r="G32" s="5" t="str">
        <f aca="false">HYPERLINK("https://doi.org/10.1176/appi.ajp.2015.15050632","open")</f>
        <v>open</v>
      </c>
      <c r="H32" s="3" t="s">
        <v>16</v>
      </c>
      <c r="I32" s="6"/>
      <c r="J32" s="3"/>
    </row>
    <row r="33" customFormat="false" ht="23.85" hidden="false" customHeight="false" outlineLevel="0" collapsed="false">
      <c r="A33" s="8" t="s">
        <v>142</v>
      </c>
      <c r="B33" s="3" t="s">
        <v>161</v>
      </c>
      <c r="C33" s="3" t="s">
        <v>166</v>
      </c>
      <c r="D33" s="3" t="s">
        <v>167</v>
      </c>
      <c r="E33" s="4" t="s">
        <v>168</v>
      </c>
      <c r="F33" s="3" t="s">
        <v>169</v>
      </c>
      <c r="G33" s="5" t="str">
        <f aca="false">HYPERLINK("https://doi.org/10.1002/j.2051-5545.2008.tb00182.x","open")</f>
        <v>open</v>
      </c>
      <c r="H33" s="3" t="s">
        <v>6</v>
      </c>
      <c r="I33" s="6"/>
      <c r="J33" s="3"/>
    </row>
    <row r="34" customFormat="false" ht="23.85" hidden="false" customHeight="false" outlineLevel="0" collapsed="false">
      <c r="A34" s="8" t="s">
        <v>142</v>
      </c>
      <c r="B34" s="3" t="s">
        <v>170</v>
      </c>
      <c r="C34" s="3" t="s">
        <v>171</v>
      </c>
      <c r="D34" s="3" t="s">
        <v>172</v>
      </c>
      <c r="E34" s="4"/>
      <c r="F34" s="3"/>
      <c r="G34" s="4"/>
      <c r="H34" s="3" t="s">
        <v>16</v>
      </c>
      <c r="I34" s="6"/>
      <c r="J34" s="3" t="s">
        <v>173</v>
      </c>
    </row>
    <row r="35" customFormat="false" ht="23.85" hidden="false" customHeight="false" outlineLevel="0" collapsed="false">
      <c r="A35" s="8" t="s">
        <v>142</v>
      </c>
      <c r="B35" s="3" t="s">
        <v>174</v>
      </c>
      <c r="C35" s="3" t="s">
        <v>175</v>
      </c>
      <c r="D35" s="3" t="s">
        <v>176</v>
      </c>
      <c r="E35" s="4" t="s">
        <v>177</v>
      </c>
      <c r="F35" s="3" t="s">
        <v>178</v>
      </c>
      <c r="G35" s="5" t="str">
        <f aca="false">HYPERLINK("https://doi.org/10.1001/archpsyc.62.9.996","open")</f>
        <v>open</v>
      </c>
      <c r="H35" s="3" t="s">
        <v>16</v>
      </c>
      <c r="I35" s="6"/>
      <c r="J35" s="3"/>
    </row>
    <row r="36" customFormat="false" ht="15" hidden="false" customHeight="false" outlineLevel="0" collapsed="false">
      <c r="A36" s="8" t="s">
        <v>142</v>
      </c>
      <c r="B36" s="3" t="s">
        <v>179</v>
      </c>
      <c r="C36" s="3" t="s">
        <v>180</v>
      </c>
      <c r="D36" s="3" t="s">
        <v>181</v>
      </c>
      <c r="E36" s="4"/>
      <c r="F36" s="3" t="s">
        <v>182</v>
      </c>
      <c r="G36" s="5" t="str">
        <f aca="false">HYPERLINK("https://doi.org/10.1037/h0101301","open")</f>
        <v>open</v>
      </c>
      <c r="H36" s="3" t="s">
        <v>16</v>
      </c>
      <c r="I36" s="6"/>
      <c r="J36" s="3" t="s">
        <v>55</v>
      </c>
    </row>
    <row r="37" customFormat="false" ht="23.85" hidden="false" customHeight="false" outlineLevel="0" collapsed="false">
      <c r="A37" s="8" t="s">
        <v>142</v>
      </c>
      <c r="B37" s="3" t="s">
        <v>183</v>
      </c>
      <c r="C37" s="3" t="s">
        <v>184</v>
      </c>
      <c r="D37" s="3" t="s">
        <v>185</v>
      </c>
      <c r="E37" s="4" t="s">
        <v>186</v>
      </c>
      <c r="F37" s="3" t="s">
        <v>187</v>
      </c>
      <c r="G37" s="5" t="str">
        <f aca="false">HYPERLINK("https://doi.org/10.1016/S2215-0366(15)00277-1","open")</f>
        <v>open</v>
      </c>
      <c r="H37" s="3" t="s">
        <v>16</v>
      </c>
      <c r="I37" s="6"/>
      <c r="J37" s="3"/>
    </row>
    <row r="38" customFormat="false" ht="23.85" hidden="false" customHeight="false" outlineLevel="0" collapsed="false">
      <c r="A38" s="8" t="s">
        <v>142</v>
      </c>
      <c r="B38" s="3" t="s">
        <v>188</v>
      </c>
      <c r="C38" s="3" t="s">
        <v>189</v>
      </c>
      <c r="D38" s="3" t="s">
        <v>190</v>
      </c>
      <c r="E38" s="4" t="s">
        <v>191</v>
      </c>
      <c r="F38" s="3" t="s">
        <v>192</v>
      </c>
      <c r="G38" s="5" t="str">
        <f aca="false">HYPERLINK("https://doi.org/10.1001/archpsyc.1981.01780370061008","open")</f>
        <v>open</v>
      </c>
      <c r="H38" s="3" t="s">
        <v>16</v>
      </c>
      <c r="I38" s="6"/>
      <c r="J38" s="3"/>
    </row>
    <row r="39" customFormat="false" ht="23.85" hidden="false" customHeight="false" outlineLevel="0" collapsed="false">
      <c r="A39" s="8" t="s">
        <v>142</v>
      </c>
      <c r="B39" s="3" t="s">
        <v>193</v>
      </c>
      <c r="C39" s="3" t="s">
        <v>194</v>
      </c>
      <c r="D39" s="3" t="s">
        <v>195</v>
      </c>
      <c r="E39" s="4" t="s">
        <v>196</v>
      </c>
      <c r="F39" s="3" t="s">
        <v>197</v>
      </c>
      <c r="G39" s="5" t="str">
        <f aca="false">HYPERLINK("https://doi.org/10.1001/archpsyc.1997.01830220033006","open")</f>
        <v>open</v>
      </c>
      <c r="H39" s="3" t="s">
        <v>16</v>
      </c>
      <c r="I39" s="6"/>
      <c r="J39" s="3"/>
    </row>
    <row r="40" customFormat="false" ht="15" hidden="false" customHeight="false" outlineLevel="0" collapsed="false">
      <c r="A40" s="8" t="s">
        <v>142</v>
      </c>
      <c r="B40" s="3" t="s">
        <v>198</v>
      </c>
      <c r="C40" s="3" t="s">
        <v>199</v>
      </c>
      <c r="D40" s="3" t="s">
        <v>200</v>
      </c>
      <c r="E40" s="4"/>
      <c r="F40" s="3"/>
      <c r="G40" s="4"/>
      <c r="H40" s="3" t="s">
        <v>201</v>
      </c>
      <c r="I40" s="6"/>
      <c r="J40" s="3" t="s">
        <v>202</v>
      </c>
    </row>
    <row r="41" customFormat="false" ht="23.85" hidden="false" customHeight="false" outlineLevel="0" collapsed="false">
      <c r="A41" s="8" t="s">
        <v>142</v>
      </c>
      <c r="B41" s="3" t="s">
        <v>198</v>
      </c>
      <c r="C41" s="3" t="s">
        <v>203</v>
      </c>
      <c r="D41" s="3" t="s">
        <v>204</v>
      </c>
      <c r="E41" s="4"/>
      <c r="F41" s="3"/>
      <c r="G41" s="4"/>
      <c r="H41" s="3" t="s">
        <v>201</v>
      </c>
      <c r="I41" s="6"/>
      <c r="J41" s="3" t="s">
        <v>202</v>
      </c>
    </row>
    <row r="42" customFormat="false" ht="15" hidden="false" customHeight="false" outlineLevel="0" collapsed="false">
      <c r="A42" s="8" t="s">
        <v>142</v>
      </c>
      <c r="B42" s="3" t="s">
        <v>205</v>
      </c>
      <c r="C42" s="3" t="s">
        <v>206</v>
      </c>
      <c r="D42" s="3" t="s">
        <v>207</v>
      </c>
      <c r="E42" s="4"/>
      <c r="F42" s="3"/>
      <c r="G42" s="4"/>
      <c r="H42" s="3" t="s">
        <v>201</v>
      </c>
      <c r="I42" s="6"/>
      <c r="J42" s="3" t="s">
        <v>202</v>
      </c>
    </row>
    <row r="43" customFormat="false" ht="23.85" hidden="false" customHeight="false" outlineLevel="0" collapsed="false">
      <c r="A43" s="9" t="s">
        <v>208</v>
      </c>
      <c r="B43" s="3" t="s">
        <v>209</v>
      </c>
      <c r="C43" s="3" t="s">
        <v>210</v>
      </c>
      <c r="D43" s="3" t="s">
        <v>211</v>
      </c>
      <c r="E43" s="4"/>
      <c r="F43" s="3"/>
      <c r="G43" s="4"/>
      <c r="H43" s="3" t="s">
        <v>6</v>
      </c>
      <c r="I43" s="6"/>
      <c r="J43" s="3" t="s">
        <v>212</v>
      </c>
    </row>
    <row r="44" customFormat="false" ht="15" hidden="false" customHeight="false" outlineLevel="0" collapsed="false">
      <c r="A44" s="9" t="s">
        <v>208</v>
      </c>
      <c r="B44" s="3" t="s">
        <v>209</v>
      </c>
      <c r="C44" s="3" t="s">
        <v>213</v>
      </c>
      <c r="D44" s="3" t="s">
        <v>214</v>
      </c>
      <c r="E44" s="4"/>
      <c r="F44" s="3"/>
      <c r="G44" s="4"/>
      <c r="H44" s="3" t="s">
        <v>6</v>
      </c>
      <c r="I44" s="6"/>
      <c r="J44" s="3" t="s">
        <v>212</v>
      </c>
    </row>
    <row r="45" customFormat="false" ht="15" hidden="false" customHeight="false" outlineLevel="0" collapsed="false">
      <c r="A45" s="9" t="s">
        <v>208</v>
      </c>
      <c r="B45" s="3" t="s">
        <v>209</v>
      </c>
      <c r="C45" s="3" t="s">
        <v>215</v>
      </c>
      <c r="D45" s="3" t="s">
        <v>216</v>
      </c>
      <c r="E45" s="4"/>
      <c r="F45" s="3"/>
      <c r="G45" s="4"/>
      <c r="H45" s="3" t="s">
        <v>6</v>
      </c>
      <c r="I45" s="6"/>
      <c r="J45" s="3" t="s">
        <v>217</v>
      </c>
    </row>
    <row r="46" customFormat="false" ht="23.85" hidden="false" customHeight="false" outlineLevel="0" collapsed="false">
      <c r="A46" s="9" t="s">
        <v>208</v>
      </c>
      <c r="B46" s="3" t="s">
        <v>209</v>
      </c>
      <c r="C46" s="3" t="s">
        <v>218</v>
      </c>
      <c r="D46" s="3" t="s">
        <v>219</v>
      </c>
      <c r="E46" s="4"/>
      <c r="F46" s="3"/>
      <c r="G46" s="4"/>
      <c r="H46" s="3" t="s">
        <v>6</v>
      </c>
      <c r="I46" s="6"/>
      <c r="J46" s="3" t="s">
        <v>220</v>
      </c>
    </row>
  </sheetData>
  <autoFilter ref="A1:J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0" t="s">
        <v>221</v>
      </c>
    </row>
    <row r="3" customFormat="false" ht="15" hidden="false" customHeight="false" outlineLevel="0" collapsed="false">
      <c r="A3" s="11" t="s">
        <v>222</v>
      </c>
      <c r="B3" s="12" t="n">
        <f aca="false">COUNTA('Download Checklist'!C2:C46)</f>
        <v>45</v>
      </c>
    </row>
    <row r="4" customFormat="false" ht="15" hidden="false" customHeight="false" outlineLevel="0" collapsed="false">
      <c r="A4" s="11" t="s">
        <v>223</v>
      </c>
      <c r="B4" s="12" t="n">
        <f aca="false">COUNTA('Download Checklist'!F2:F46)</f>
        <v>36</v>
      </c>
    </row>
    <row r="5" customFormat="false" ht="15" hidden="false" customHeight="false" outlineLevel="0" collapsed="false">
      <c r="A5" s="11" t="s">
        <v>224</v>
      </c>
      <c r="B5" s="12" t="n">
        <f aca="false">COUNTIF('Download Checklist'!I2:I46,"?*")</f>
        <v>0</v>
      </c>
    </row>
    <row r="6" customFormat="false" ht="15" hidden="false" customHeight="false" outlineLevel="0" collapsed="false">
      <c r="A6" s="11" t="s">
        <v>225</v>
      </c>
      <c r="B6" s="12" t="n">
        <f aca="false">B3-B5</f>
        <v>45</v>
      </c>
    </row>
    <row r="8" customFormat="false" ht="15" hidden="false" customHeight="false" outlineLevel="0" collapsed="false">
      <c r="A8" s="13" t="s">
        <v>226</v>
      </c>
    </row>
    <row r="10" customFormat="false" ht="15" hidden="false" customHeight="false" outlineLevel="0" collapsed="false">
      <c r="A10" s="1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2026-06-27T12:46:52Z</dcterms:created>
  <dc:creator>openpyxl</dc:creator>
  <dc:description/>
  <dc:language>en-US</dc:language>
  <cp:lastModifiedBy/>
  <dcterms:modified xsi:type="dcterms:W3CDTF">2026-06-27T12:46:52Z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